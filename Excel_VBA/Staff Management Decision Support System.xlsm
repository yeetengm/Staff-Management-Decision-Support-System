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udentuumedu-my.sharepoint.com/personal/chan_yee_teng_sqs_uum_edu_my/Documents/yeetengm's Windows Desktop/Project/"/>
    </mc:Choice>
  </mc:AlternateContent>
  <xr:revisionPtr revIDLastSave="69" documentId="13_ncr:1_{7E668B9D-8481-415F-B72B-5944D8F16754}" xr6:coauthVersionLast="47" xr6:coauthVersionMax="47" xr10:uidLastSave="{07D8AD20-48AE-4B9D-AB66-1F905F462468}"/>
  <bookViews>
    <workbookView xWindow="-96" yWindow="0" windowWidth="11712" windowHeight="13056" xr2:uid="{B2A7AE61-C1A3-459D-8A73-5B969E01FDD0}"/>
  </bookViews>
  <sheets>
    <sheet name="SystemMainPage" sheetId="1" r:id="rId1"/>
    <sheet name="AssignPlayer&amp;Qualification" sheetId="2" r:id="rId2"/>
    <sheet name="PlayersDatabase" sheetId="3" r:id="rId3"/>
    <sheet name="ManagerMainPage" sheetId="6" r:id="rId4"/>
    <sheet name="Pivot Table" sheetId="10" r:id="rId5"/>
    <sheet name="List for Data Validation" sheetId="7" state="hidden" r:id="rId6"/>
  </sheets>
  <definedNames>
    <definedName name="_xlnm._FilterDatabase" localSheetId="1" hidden="1">'AssignPlayer&amp;Qualification'!$E$14:$F$14</definedName>
    <definedName name="_xlnm._FilterDatabase" localSheetId="2" hidden="1">PlayersDatabase!#REF!</definedName>
    <definedName name="_xlnm.Print_Area" localSheetId="1">'AssignPlayer&amp;Qualification'!$A$1:$I$45</definedName>
    <definedName name="_xlnm.Print_Area" localSheetId="2">PlayersDatabase!$A$1:$S$59</definedName>
    <definedName name="_xlnm.Print_Area" localSheetId="0">SystemMainPage!$A$1:$J$26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0" i="6" l="1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0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U9" i="6"/>
  <c r="U8" i="6"/>
  <c r="U7" i="6"/>
  <c r="T9" i="6"/>
  <c r="T8" i="6"/>
  <c r="T7" i="6"/>
  <c r="T6" i="6"/>
  <c r="U6" i="6"/>
  <c r="AA39" i="6"/>
  <c r="AA45" i="6"/>
  <c r="AA44" i="6" l="1"/>
  <c r="AA46" i="6" s="1"/>
  <c r="AA38" i="6"/>
  <c r="AA40" i="6"/>
</calcChain>
</file>

<file path=xl/sharedStrings.xml><?xml version="1.0" encoding="utf-8"?>
<sst xmlns="http://schemas.openxmlformats.org/spreadsheetml/2006/main" count="290" uniqueCount="140">
  <si>
    <t>No</t>
  </si>
  <si>
    <t>Name</t>
  </si>
  <si>
    <t>IC No.</t>
  </si>
  <si>
    <t>Gender</t>
  </si>
  <si>
    <t>Contact No.</t>
  </si>
  <si>
    <t>State</t>
  </si>
  <si>
    <t>Country</t>
  </si>
  <si>
    <t>Religion</t>
  </si>
  <si>
    <t>Race</t>
  </si>
  <si>
    <t>Name:</t>
  </si>
  <si>
    <t>Religion:</t>
  </si>
  <si>
    <t>Contact No. :</t>
  </si>
  <si>
    <t>IC No. :</t>
  </si>
  <si>
    <t>Country:</t>
  </si>
  <si>
    <t>Gender:</t>
  </si>
  <si>
    <t>Race:</t>
  </si>
  <si>
    <t>State:</t>
  </si>
  <si>
    <t>Submitted on</t>
  </si>
  <si>
    <t>FEMALE</t>
  </si>
  <si>
    <t>LIST OF GENDER</t>
  </si>
  <si>
    <t>Yes</t>
  </si>
  <si>
    <t>LIST OF STATE</t>
  </si>
  <si>
    <t>Status</t>
  </si>
  <si>
    <t>Response Date</t>
  </si>
  <si>
    <t>Instruction</t>
  </si>
  <si>
    <r>
      <t>*Click on "</t>
    </r>
    <r>
      <rPr>
        <b/>
        <sz val="11"/>
        <color theme="1"/>
        <rFont val="Calibri"/>
        <family val="2"/>
        <scheme val="minor"/>
      </rPr>
      <t>Back</t>
    </r>
    <r>
      <rPr>
        <sz val="11"/>
        <color theme="1"/>
        <rFont val="Calibri"/>
        <family val="2"/>
        <scheme val="minor"/>
      </rPr>
      <t>" button to system main page the data will remain.</t>
    </r>
  </si>
  <si>
    <t>*</t>
  </si>
  <si>
    <t>Number of Student</t>
  </si>
  <si>
    <t>Situation</t>
  </si>
  <si>
    <t>TOTAL</t>
  </si>
  <si>
    <t>Player ID :</t>
  </si>
  <si>
    <t>Age</t>
  </si>
  <si>
    <t>Age:</t>
  </si>
  <si>
    <t xml:space="preserve">Height: </t>
  </si>
  <si>
    <t>Skill Set</t>
  </si>
  <si>
    <t xml:space="preserve">Skill Set: </t>
  </si>
  <si>
    <t xml:space="preserve">Size: </t>
  </si>
  <si>
    <t xml:space="preserve">Attitude: </t>
  </si>
  <si>
    <t xml:space="preserve">Communication: </t>
  </si>
  <si>
    <t>BIG</t>
  </si>
  <si>
    <t>MEDIUM</t>
  </si>
  <si>
    <t>SMALL</t>
  </si>
  <si>
    <t>LIST OF SKILL SET</t>
  </si>
  <si>
    <t>LIST OF MENTAL TOUGHNESS</t>
  </si>
  <si>
    <t>LIST OF ATTITUDE</t>
  </si>
  <si>
    <t>LIST OF SIZE</t>
  </si>
  <si>
    <t>LIST OF COMMUNICATION</t>
  </si>
  <si>
    <t>LIST OF COUNTRY</t>
  </si>
  <si>
    <t>Mental Toughness</t>
  </si>
  <si>
    <t xml:space="preserve">Mental Toughness: </t>
  </si>
  <si>
    <t>Size</t>
  </si>
  <si>
    <t>Player ID</t>
  </si>
  <si>
    <t>Communication</t>
  </si>
  <si>
    <t>Attitude</t>
  </si>
  <si>
    <t xml:space="preserve">Game Wins: </t>
  </si>
  <si>
    <t>Grade</t>
  </si>
  <si>
    <t>Game Win</t>
  </si>
  <si>
    <r>
      <t>*Click on "</t>
    </r>
    <r>
      <rPr>
        <b/>
        <sz val="14"/>
        <color theme="1"/>
        <rFont val="Calibri"/>
        <family val="2"/>
        <scheme val="minor"/>
      </rPr>
      <t>Exit</t>
    </r>
    <r>
      <rPr>
        <sz val="14"/>
        <color theme="1"/>
        <rFont val="Calibri"/>
        <family val="2"/>
        <scheme val="minor"/>
      </rPr>
      <t>" button to System Main Page.</t>
    </r>
  </si>
  <si>
    <t>A</t>
  </si>
  <si>
    <t>B</t>
  </si>
  <si>
    <t>C</t>
  </si>
  <si>
    <t>D</t>
  </si>
  <si>
    <t>F</t>
  </si>
  <si>
    <t>Player's qualification</t>
  </si>
  <si>
    <t xml:space="preserve">         Player's Detials</t>
  </si>
  <si>
    <r>
      <t>*To search the data please enter your "Player's ID" and click on "</t>
    </r>
    <r>
      <rPr>
        <b/>
        <sz val="11"/>
        <color theme="1"/>
        <rFont val="Calibri"/>
        <family val="2"/>
        <scheme val="minor"/>
      </rPr>
      <t>Search</t>
    </r>
    <r>
      <rPr>
        <sz val="11"/>
        <color theme="1"/>
        <rFont val="Calibri"/>
        <family val="2"/>
        <scheme val="minor"/>
      </rPr>
      <t>" button.</t>
    </r>
  </si>
  <si>
    <r>
      <t>*To check the Grade please enter your "Player's ID" and click on "</t>
    </r>
    <r>
      <rPr>
        <b/>
        <sz val="11"/>
        <color theme="1"/>
        <rFont val="Calibri"/>
        <family val="2"/>
        <scheme val="minor"/>
      </rPr>
      <t>Check Grade</t>
    </r>
    <r>
      <rPr>
        <sz val="11"/>
        <color theme="1"/>
        <rFont val="Calibri"/>
        <family val="2"/>
        <scheme val="minor"/>
      </rPr>
      <t>" button.</t>
    </r>
  </si>
  <si>
    <r>
      <t>*To update the data please enter your "Player's ID" click on "</t>
    </r>
    <r>
      <rPr>
        <b/>
        <sz val="11"/>
        <color theme="1"/>
        <rFont val="Calibri"/>
        <family val="2"/>
        <scheme val="minor"/>
      </rPr>
      <t>Search</t>
    </r>
    <r>
      <rPr>
        <sz val="11"/>
        <color theme="1"/>
        <rFont val="Calibri"/>
        <family val="2"/>
        <scheme val="minor"/>
      </rPr>
      <t>" button enter the data you want to change lastly click on "</t>
    </r>
    <r>
      <rPr>
        <b/>
        <sz val="11"/>
        <color theme="1"/>
        <rFont val="Calibri"/>
        <family val="2"/>
        <scheme val="minor"/>
      </rPr>
      <t>Update Data</t>
    </r>
    <r>
      <rPr>
        <sz val="11"/>
        <color theme="1"/>
        <rFont val="Calibri"/>
        <family val="2"/>
        <scheme val="minor"/>
      </rPr>
      <t>" button.</t>
    </r>
  </si>
  <si>
    <r>
      <t>*Click on "</t>
    </r>
    <r>
      <rPr>
        <b/>
        <sz val="11"/>
        <color theme="1"/>
        <rFont val="Calibri"/>
        <family val="2"/>
        <scheme val="minor"/>
      </rPr>
      <t>Exit</t>
    </r>
    <r>
      <rPr>
        <sz val="11"/>
        <color theme="1"/>
        <rFont val="Calibri"/>
        <family val="2"/>
        <scheme val="minor"/>
      </rPr>
      <t>" button to system main page the data will delete in database.</t>
    </r>
  </si>
  <si>
    <r>
      <t xml:space="preserve">* </t>
    </r>
    <r>
      <rPr>
        <b/>
        <sz val="11"/>
        <rFont val="Calibri"/>
        <family val="2"/>
        <scheme val="minor"/>
      </rPr>
      <t>Reminder</t>
    </r>
    <r>
      <rPr>
        <b/>
        <sz val="11"/>
        <color rgb="FFFF0000"/>
        <rFont val="Calibri"/>
        <family val="2"/>
        <scheme val="minor"/>
      </rPr>
      <t>: Player's ID is required.</t>
    </r>
  </si>
  <si>
    <t>&gt;50</t>
  </si>
  <si>
    <t>20-35</t>
  </si>
  <si>
    <t>*This page only Manager can enter.</t>
  </si>
  <si>
    <t>LIST OF RELIGION</t>
  </si>
  <si>
    <t>CHINESE</t>
  </si>
  <si>
    <t>INDIAN</t>
  </si>
  <si>
    <t>OTHER</t>
  </si>
  <si>
    <t>MALAY</t>
  </si>
  <si>
    <t xml:space="preserve">MALE </t>
  </si>
  <si>
    <t>LIST OF RACE</t>
  </si>
  <si>
    <t>ISLAM</t>
  </si>
  <si>
    <t>BUDDHISM</t>
  </si>
  <si>
    <t>CHRISTIANITY</t>
  </si>
  <si>
    <t>HINDUISM</t>
  </si>
  <si>
    <t xml:space="preserve">OTHER </t>
  </si>
  <si>
    <t xml:space="preserve">MALAYSIA </t>
  </si>
  <si>
    <t xml:space="preserve">PERLIS </t>
  </si>
  <si>
    <t xml:space="preserve">KEDAH </t>
  </si>
  <si>
    <t>PULAU PINANG</t>
  </si>
  <si>
    <t xml:space="preserve">KELANTAN </t>
  </si>
  <si>
    <t>TERENGGANU</t>
  </si>
  <si>
    <t>PAHANG</t>
  </si>
  <si>
    <t>SELANGOR</t>
  </si>
  <si>
    <t xml:space="preserve">MELAKA </t>
  </si>
  <si>
    <t>JOHOR</t>
  </si>
  <si>
    <t xml:space="preserve">SABAH </t>
  </si>
  <si>
    <t>SARAWAK</t>
  </si>
  <si>
    <t>NEGERI SEMBILAN</t>
  </si>
  <si>
    <t>PERAK</t>
  </si>
  <si>
    <t>*Fill up the player's details information and their qualification in this field.</t>
  </si>
  <si>
    <t>*To assign the player click on "Assign Player To Team" button, the data will submit to player's database, manage player's information and manager main page.</t>
  </si>
  <si>
    <r>
      <t>*If Manager want back to manager main page click on "</t>
    </r>
    <r>
      <rPr>
        <b/>
        <sz val="14"/>
        <color theme="1"/>
        <rFont val="Calibri"/>
        <family val="2"/>
        <scheme val="minor"/>
      </rPr>
      <t>Manage</t>
    </r>
    <r>
      <rPr>
        <sz val="14"/>
        <color theme="1"/>
        <rFont val="Calibri"/>
        <family val="2"/>
        <scheme val="minor"/>
      </rPr>
      <t>r</t>
    </r>
    <r>
      <rPr>
        <b/>
        <sz val="14"/>
        <color theme="1"/>
        <rFont val="Calibri"/>
        <family val="2"/>
        <scheme val="minor"/>
      </rPr>
      <t xml:space="preserve"> Main Page</t>
    </r>
    <r>
      <rPr>
        <sz val="14"/>
        <color theme="1"/>
        <rFont val="Calibri"/>
        <family val="2"/>
        <scheme val="minor"/>
      </rPr>
      <t>" button.</t>
    </r>
  </si>
  <si>
    <r>
      <t>*If Manager want back to assign player and qualification page click on "</t>
    </r>
    <r>
      <rPr>
        <b/>
        <sz val="14"/>
        <color theme="1"/>
        <rFont val="Calibri"/>
        <family val="2"/>
        <scheme val="minor"/>
      </rPr>
      <t>Assign Player and Qualification</t>
    </r>
    <r>
      <rPr>
        <sz val="14"/>
        <color theme="1"/>
        <rFont val="Calibri"/>
        <family val="2"/>
        <scheme val="minor"/>
      </rPr>
      <t>" button.</t>
    </r>
  </si>
  <si>
    <t>Approve Assign to Competition</t>
  </si>
  <si>
    <r>
      <t>*Click on "</t>
    </r>
    <r>
      <rPr>
        <b/>
        <sz val="18"/>
        <color theme="1"/>
        <rFont val="Calibri"/>
        <family val="2"/>
        <scheme val="minor"/>
      </rPr>
      <t>Exit</t>
    </r>
    <r>
      <rPr>
        <sz val="18"/>
        <color theme="1"/>
        <rFont val="Calibri"/>
        <family val="2"/>
        <scheme val="minor"/>
      </rPr>
      <t>" button to System Main Page.</t>
    </r>
  </si>
  <si>
    <t>Approved</t>
  </si>
  <si>
    <t>Rejected</t>
  </si>
  <si>
    <r>
      <t>*To approved or rejected player assign to competition status pleasekey-in password "</t>
    </r>
    <r>
      <rPr>
        <b/>
        <sz val="18"/>
        <color theme="1"/>
        <rFont val="Calibri"/>
        <family val="2"/>
        <scheme val="minor"/>
      </rPr>
      <t>12345</t>
    </r>
    <r>
      <rPr>
        <sz val="18"/>
        <color theme="1"/>
        <rFont val="Calibri"/>
        <family val="2"/>
        <scheme val="minor"/>
      </rPr>
      <t xml:space="preserve">" click 'ok', enter the item number click 'ok', to </t>
    </r>
    <r>
      <rPr>
        <b/>
        <sz val="18"/>
        <color theme="1"/>
        <rFont val="Calibri"/>
        <family val="2"/>
        <scheme val="minor"/>
      </rPr>
      <t>Approved</t>
    </r>
    <r>
      <rPr>
        <sz val="18"/>
        <color theme="1"/>
        <rFont val="Calibri"/>
        <family val="2"/>
        <scheme val="minor"/>
      </rPr>
      <t xml:space="preserve"> click 'Yes' if </t>
    </r>
    <r>
      <rPr>
        <b/>
        <sz val="18"/>
        <color theme="1"/>
        <rFont val="Calibri"/>
        <family val="2"/>
        <scheme val="minor"/>
      </rPr>
      <t>Rejected</t>
    </r>
    <r>
      <rPr>
        <sz val="18"/>
        <color theme="1"/>
        <rFont val="Calibri"/>
        <family val="2"/>
        <scheme val="minor"/>
      </rPr>
      <t xml:space="preserve"> click 'No'.</t>
    </r>
  </si>
  <si>
    <r>
      <t>*If Manager want to reset manager main page click on "</t>
    </r>
    <r>
      <rPr>
        <b/>
        <sz val="18"/>
        <color theme="1"/>
        <rFont val="Calibri"/>
        <family val="2"/>
        <scheme val="minor"/>
      </rPr>
      <t>Reset</t>
    </r>
    <r>
      <rPr>
        <sz val="18"/>
        <color theme="1"/>
        <rFont val="Calibri"/>
        <family val="2"/>
        <scheme val="minor"/>
      </rPr>
      <t>" button.</t>
    </r>
  </si>
  <si>
    <r>
      <t>*If Manager want back to manage player's database click on "</t>
    </r>
    <r>
      <rPr>
        <b/>
        <sz val="18"/>
        <color theme="1"/>
        <rFont val="Calibri"/>
        <family val="2"/>
        <scheme val="minor"/>
      </rPr>
      <t>Player's Database</t>
    </r>
    <r>
      <rPr>
        <sz val="18"/>
        <color theme="1"/>
        <rFont val="Calibri"/>
        <family val="2"/>
        <scheme val="minor"/>
      </rPr>
      <t>" button.</t>
    </r>
  </si>
  <si>
    <t>Number of players registered</t>
  </si>
  <si>
    <t xml:space="preserve">Number of players approved assign to competition </t>
  </si>
  <si>
    <t>Number of players rejected assign to competition</t>
  </si>
  <si>
    <t>Height</t>
  </si>
  <si>
    <t>Approved and assign to competition</t>
  </si>
  <si>
    <t>1-10</t>
  </si>
  <si>
    <t>10-20</t>
  </si>
  <si>
    <t>35-50</t>
  </si>
  <si>
    <t>Grade:</t>
  </si>
  <si>
    <t>0-4</t>
  </si>
  <si>
    <t>Capabilities</t>
  </si>
  <si>
    <t>15-19</t>
  </si>
  <si>
    <t>10-14</t>
  </si>
  <si>
    <t>5-9</t>
  </si>
  <si>
    <t>Total Capabilities Score</t>
  </si>
  <si>
    <t>Rejected and assign to competition</t>
  </si>
  <si>
    <t>TANG YIN YIN</t>
  </si>
  <si>
    <t xml:space="preserve">CHAN YEE TENG </t>
  </si>
  <si>
    <t>CHOW ZHENG HENG</t>
  </si>
  <si>
    <t>CHEOK YOKE BOON</t>
  </si>
  <si>
    <t>JUNIE</t>
  </si>
  <si>
    <t>LIM WEI RU</t>
  </si>
  <si>
    <t>012-0657089</t>
  </si>
  <si>
    <t xml:space="preserve">VALYN NG </t>
  </si>
  <si>
    <t>Row Labels</t>
  </si>
  <si>
    <t>Grand Total</t>
  </si>
  <si>
    <t>Count of Status</t>
  </si>
  <si>
    <t>Column Labels</t>
  </si>
  <si>
    <t>(All)</t>
  </si>
  <si>
    <t>NG KAI JIE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</si>
</sst>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\-00\-0000"/>
    <numFmt numFmtId="165" formatCode="000\-0000000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Stencil"/>
      <family val="5"/>
    </font>
    <font>
      <b/>
      <sz val="16"/>
      <color theme="1"/>
      <name val="Times New Roman"/>
      <family val="1"/>
    </font>
    <font>
      <b/>
      <u/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CE0E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0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7" fillId="0" borderId="0" xfId="0" applyFont="1"/>
    <xf numFmtId="0" fontId="0" fillId="6" borderId="0" xfId="0" applyFill="1"/>
    <xf numFmtId="0" fontId="0" fillId="3" borderId="2" xfId="0" applyFill="1" applyBorder="1" applyAlignment="1">
      <alignment horizontal="left" vertical="center"/>
    </xf>
    <xf numFmtId="0" fontId="2" fillId="0" borderId="0" xfId="0" applyFont="1" applyAlignment="1">
      <alignment horizontal="right"/>
    </xf>
    <xf numFmtId="0" fontId="1" fillId="3" borderId="2" xfId="0" applyFont="1" applyFill="1" applyBorder="1" applyAlignment="1">
      <alignment horizontal="left" vertical="center"/>
    </xf>
    <xf numFmtId="164" fontId="1" fillId="3" borderId="2" xfId="0" applyNumberFormat="1" applyFont="1" applyFill="1" applyBorder="1" applyAlignment="1">
      <alignment horizontal="left" vertical="center"/>
    </xf>
    <xf numFmtId="165" fontId="1" fillId="3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8" fillId="8" borderId="0" xfId="0" applyFont="1" applyFill="1" applyAlignment="1">
      <alignment horizontal="right" vertical="center"/>
    </xf>
    <xf numFmtId="0" fontId="0" fillId="8" borderId="0" xfId="0" applyFill="1" applyAlignment="1">
      <alignment vertical="center"/>
    </xf>
    <xf numFmtId="0" fontId="1" fillId="8" borderId="0" xfId="0" applyFont="1" applyFill="1" applyAlignment="1">
      <alignment horizontal="left" vertical="center"/>
    </xf>
    <xf numFmtId="164" fontId="1" fillId="8" borderId="0" xfId="0" applyNumberFormat="1" applyFont="1" applyFill="1" applyAlignment="1">
      <alignment horizontal="left" vertical="center"/>
    </xf>
    <xf numFmtId="165" fontId="1" fillId="8" borderId="0" xfId="0" applyNumberFormat="1" applyFont="1" applyFill="1" applyAlignment="1">
      <alignment horizontal="left" vertical="center"/>
    </xf>
    <xf numFmtId="0" fontId="6" fillId="8" borderId="0" xfId="0" applyFont="1" applyFill="1"/>
    <xf numFmtId="0" fontId="0" fillId="8" borderId="0" xfId="0" applyFill="1" applyAlignment="1">
      <alignment horizontal="left" vertical="center"/>
    </xf>
    <xf numFmtId="0" fontId="0" fillId="7" borderId="14" xfId="0" applyFill="1" applyBorder="1"/>
    <xf numFmtId="0" fontId="0" fillId="7" borderId="7" xfId="0" applyFill="1" applyBorder="1"/>
    <xf numFmtId="0" fontId="8" fillId="8" borderId="0" xfId="0" applyFont="1" applyFill="1" applyAlignment="1">
      <alignment horizontal="right"/>
    </xf>
    <xf numFmtId="0" fontId="5" fillId="3" borderId="2" xfId="0" applyFont="1" applyFill="1" applyBorder="1" applyAlignment="1">
      <alignment horizontal="center" vertical="center"/>
    </xf>
    <xf numFmtId="0" fontId="0" fillId="9" borderId="14" xfId="0" applyFill="1" applyBorder="1"/>
    <xf numFmtId="0" fontId="8" fillId="9" borderId="15" xfId="0" applyFont="1" applyFill="1" applyBorder="1" applyAlignment="1">
      <alignment vertical="center"/>
    </xf>
    <xf numFmtId="0" fontId="0" fillId="9" borderId="15" xfId="0" applyFill="1" applyBorder="1"/>
    <xf numFmtId="0" fontId="0" fillId="9" borderId="7" xfId="0" applyFill="1" applyBorder="1"/>
    <xf numFmtId="0" fontId="0" fillId="10" borderId="0" xfId="0" applyFill="1"/>
    <xf numFmtId="0" fontId="8" fillId="10" borderId="0" xfId="0" applyFont="1" applyFill="1" applyAlignment="1">
      <alignment horizontal="right" vertical="center"/>
    </xf>
    <xf numFmtId="0" fontId="5" fillId="10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right"/>
    </xf>
    <xf numFmtId="0" fontId="0" fillId="10" borderId="0" xfId="0" applyFill="1" applyAlignment="1">
      <alignment horizontal="right"/>
    </xf>
    <xf numFmtId="0" fontId="8" fillId="10" borderId="0" xfId="0" applyFont="1" applyFill="1"/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7" fillId="11" borderId="0" xfId="0" applyFont="1" applyFill="1"/>
    <xf numFmtId="0" fontId="0" fillId="0" borderId="2" xfId="0" applyBorder="1" applyAlignment="1">
      <alignment horizontal="left"/>
    </xf>
    <xf numFmtId="0" fontId="11" fillId="12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11" fillId="14" borderId="1" xfId="0" applyFont="1" applyFill="1" applyBorder="1" applyAlignment="1">
      <alignment horizontal="center" vertical="center"/>
    </xf>
    <xf numFmtId="0" fontId="12" fillId="3" borderId="0" xfId="0" applyFont="1" applyFill="1"/>
    <xf numFmtId="0" fontId="13" fillId="0" borderId="0" xfId="0" applyFont="1"/>
    <xf numFmtId="0" fontId="14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4" fillId="4" borderId="16" xfId="1" applyFont="1" applyFill="1" applyBorder="1" applyAlignment="1" applyProtection="1">
      <alignment horizontal="center" vertical="center"/>
      <protection locked="0"/>
    </xf>
    <xf numFmtId="0" fontId="2" fillId="4" borderId="17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9" fillId="11" borderId="0" xfId="0" applyFont="1" applyFill="1"/>
    <xf numFmtId="0" fontId="6" fillId="11" borderId="0" xfId="0" applyFont="1" applyFill="1"/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17" fontId="2" fillId="0" borderId="3" xfId="0" applyNumberFormat="1" applyFont="1" applyBorder="1" applyAlignment="1">
      <alignment horizontal="center" vertical="center"/>
    </xf>
    <xf numFmtId="2" fontId="2" fillId="0" borderId="3" xfId="0" quotePrefix="1" applyNumberFormat="1" applyFont="1" applyBorder="1" applyAlignment="1">
      <alignment horizontal="center" vertical="center"/>
    </xf>
    <xf numFmtId="2" fontId="2" fillId="0" borderId="4" xfId="0" quotePrefix="1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0" borderId="0" xfId="0" applyFont="1"/>
    <xf numFmtId="0" fontId="17" fillId="0" borderId="0" xfId="0" applyFont="1"/>
    <xf numFmtId="0" fontId="18" fillId="3" borderId="2" xfId="0" applyFont="1" applyFill="1" applyBorder="1"/>
    <xf numFmtId="0" fontId="17" fillId="0" borderId="7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16" fillId="0" borderId="0" xfId="0" applyFont="1"/>
    <xf numFmtId="0" fontId="18" fillId="0" borderId="11" xfId="0" applyFont="1" applyBorder="1" applyAlignment="1">
      <alignment horizontal="left"/>
    </xf>
    <xf numFmtId="0" fontId="18" fillId="0" borderId="8" xfId="0" applyFont="1" applyBorder="1" applyAlignment="1">
      <alignment horizontal="left"/>
    </xf>
    <xf numFmtId="0" fontId="18" fillId="0" borderId="9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17" fontId="2" fillId="0" borderId="5" xfId="0" applyNumberFormat="1" applyFont="1" applyBorder="1" applyAlignment="1">
      <alignment horizontal="center" vertical="center"/>
    </xf>
    <xf numFmtId="2" fontId="2" fillId="0" borderId="5" xfId="0" quotePrefix="1" applyNumberFormat="1" applyFont="1" applyBorder="1" applyAlignment="1">
      <alignment horizontal="center" vertical="center"/>
    </xf>
    <xf numFmtId="2" fontId="2" fillId="0" borderId="6" xfId="0" quotePrefix="1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0" fillId="7" borderId="15" xfId="0" applyFont="1" applyFill="1" applyBorder="1" applyAlignment="1">
      <alignment horizontal="center" vertical="center"/>
    </xf>
    <xf numFmtId="0" fontId="10" fillId="9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/>
    </xf>
    <xf numFmtId="0" fontId="11" fillId="6" borderId="20" xfId="0" applyFont="1" applyFill="1" applyBorder="1" applyAlignment="1">
      <alignment horizontal="center"/>
    </xf>
    <xf numFmtId="0" fontId="11" fillId="6" borderId="21" xfId="0" applyFont="1" applyFill="1" applyBorder="1" applyAlignment="1">
      <alignment horizontal="center"/>
    </xf>
  </cellXfs>
  <cellStyles count="2">
    <cellStyle name="Normal" xfId="0" builtinId="0"/>
    <cellStyle name="Normal 2" xfId="1" xr:uid="{0D11EE59-6B93-4D8E-ACD0-7E3C90347692}"/>
  </cellStyles>
  <dxfs count="4"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ECE0E2"/>
      <color rgb="FFDFD3F9"/>
      <color rgb="FFF8D4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[Staff Management Decision Support System.xlsm]Pivot Table!PivotTable1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Table'!$B$4:$B$5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Table'!$A$6:$A$8</c:f>
              <c:strCache>
                <c:ptCount val="2"/>
                <c:pt idx="0">
                  <c:v>Approved</c:v>
                </c:pt>
                <c:pt idx="1">
                  <c:v>Rejected</c:v>
                </c:pt>
              </c:strCache>
            </c:strRef>
          </c:cat>
          <c:val>
            <c:numRef>
              <c:f>'Pivot Table'!$B$6:$B$8</c:f>
              <c:numCache>
                <c:formatCode>General</c:formatCode>
                <c:ptCount val="2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8-4ED0-BBBF-DBC8E5F7AB4E}"/>
            </c:ext>
          </c:extLst>
        </c:ser>
        <c:ser>
          <c:idx val="1"/>
          <c:order val="1"/>
          <c:tx>
            <c:strRef>
              <c:f>'Pivot Table'!$C$4:$C$5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Table'!$A$6:$A$8</c:f>
              <c:strCache>
                <c:ptCount val="2"/>
                <c:pt idx="0">
                  <c:v>Approved</c:v>
                </c:pt>
                <c:pt idx="1">
                  <c:v>Rejected</c:v>
                </c:pt>
              </c:strCache>
            </c:strRef>
          </c:cat>
          <c:val>
            <c:numRef>
              <c:f>'Pivot Table'!$C$6:$C$8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A8-4ED0-BBBF-DBC8E5F7AB4E}"/>
            </c:ext>
          </c:extLst>
        </c:ser>
        <c:ser>
          <c:idx val="2"/>
          <c:order val="2"/>
          <c:tx>
            <c:strRef>
              <c:f>'Pivot Table'!$D$4:$D$5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Table'!$A$6:$A$8</c:f>
              <c:strCache>
                <c:ptCount val="2"/>
                <c:pt idx="0">
                  <c:v>Approved</c:v>
                </c:pt>
                <c:pt idx="1">
                  <c:v>Rejected</c:v>
                </c:pt>
              </c:strCache>
            </c:strRef>
          </c:cat>
          <c:val>
            <c:numRef>
              <c:f>'Pivot Table'!$D$6:$D$8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A8-4ED0-BBBF-DBC8E5F7A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3380112"/>
        <c:axId val="2103408400"/>
      </c:barChart>
      <c:catAx>
        <c:axId val="210338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408400"/>
        <c:crosses val="autoZero"/>
        <c:auto val="1"/>
        <c:lblAlgn val="ctr"/>
        <c:lblOffset val="100"/>
        <c:noMultiLvlLbl val="0"/>
      </c:catAx>
      <c:valAx>
        <c:axId val="21034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38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0.png"/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13854</xdr:rowOff>
    </xdr:from>
    <xdr:to>
      <xdr:col>12</xdr:col>
      <xdr:colOff>457200</xdr:colOff>
      <xdr:row>26</xdr:row>
      <xdr:rowOff>131619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4509"/>
          <a:ext cx="7772400" cy="48006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14</xdr:row>
          <xdr:rowOff>160020</xdr:rowOff>
        </xdr:from>
        <xdr:to>
          <xdr:col>7</xdr:col>
          <xdr:colOff>396240</xdr:colOff>
          <xdr:row>17</xdr:row>
          <xdr:rowOff>99060</xdr:rowOff>
        </xdr:to>
        <xdr:sp macro="" textlink="">
          <xdr:nvSpPr>
            <xdr:cNvPr id="1025" name="MainPag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205740</xdr:colOff>
          <xdr:row>10</xdr:row>
          <xdr:rowOff>0</xdr:rowOff>
        </xdr:from>
        <xdr:to>
          <xdr:col>9</xdr:col>
          <xdr:colOff>411480</xdr:colOff>
          <xdr:row>13</xdr:row>
          <xdr:rowOff>38100</xdr:rowOff>
        </xdr:to>
        <xdr:sp macro="" textlink="">
          <xdr:nvSpPr>
            <xdr:cNvPr id="1026" name="ASSIGNPLAY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123537</xdr:colOff>
      <xdr:row>3</xdr:row>
      <xdr:rowOff>82551</xdr:rowOff>
    </xdr:from>
    <xdr:ext cx="6450444" cy="503739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33137" y="1703533"/>
          <a:ext cx="6450444" cy="5037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Basketball</a:t>
          </a:r>
          <a:r>
            <a:rPr lang="en-US" sz="40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 Manager </a:t>
          </a:r>
          <a:r>
            <a:rPr lang="en-US" sz="4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System</a:t>
          </a:r>
        </a:p>
      </xdr:txBody>
    </xdr:sp>
    <xdr:clientData/>
  </xdr:oneCellAnchor>
  <xdr:oneCellAnchor>
    <xdr:from>
      <xdr:col>1</xdr:col>
      <xdr:colOff>159328</xdr:colOff>
      <xdr:row>19</xdr:row>
      <xdr:rowOff>122382</xdr:rowOff>
    </xdr:from>
    <xdr:ext cx="6414653" cy="80853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8928" y="4625109"/>
          <a:ext cx="6414653" cy="808539"/>
        </a:xfrm>
        <a:prstGeom prst="rect">
          <a:avLst/>
        </a:prstGeom>
        <a:noFill/>
      </xdr:spPr>
      <xdr:txBody>
        <a:bodyPr wrap="square" lIns="91440" tIns="45720" rIns="91440" bIns="45720" anchor="t">
          <a:noAutofit/>
        </a:bodyPr>
        <a:lstStyle/>
        <a:p>
          <a:pPr algn="l"/>
          <a:r>
            <a:rPr lang="en-US" sz="1100" b="1" i="0" u="sng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Instruction</a:t>
          </a:r>
          <a:r>
            <a:rPr lang="en-US">
              <a:solidFill>
                <a:schemeClr val="bg1"/>
              </a:solidFill>
            </a:rPr>
            <a:t> </a:t>
          </a:r>
        </a:p>
        <a:p>
          <a:pPr algn="l"/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*Click on "</a:t>
          </a:r>
          <a:r>
            <a:rPr lang="en-US" sz="11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ASSIGN</a:t>
          </a:r>
          <a:r>
            <a:rPr lang="en-US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PLAYER AND QUALIFICATION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" button will shift to assign player &amp;</a:t>
          </a:r>
          <a:r>
            <a:rPr lang="en-US" sz="11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qualification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sheet.</a:t>
          </a:r>
          <a:r>
            <a:rPr lang="en-US">
              <a:solidFill>
                <a:schemeClr val="bg1"/>
              </a:solidFill>
            </a:rPr>
            <a:t> </a:t>
          </a:r>
        </a:p>
        <a:p>
          <a:pPr algn="l"/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*Click on "</a:t>
          </a:r>
          <a:r>
            <a:rPr lang="en-US" sz="11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MANAGER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" button will shift to manager main page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9</xdr:col>
      <xdr:colOff>19050</xdr:colOff>
      <xdr:row>3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9391650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27</xdr:row>
          <xdr:rowOff>45720</xdr:rowOff>
        </xdr:from>
        <xdr:to>
          <xdr:col>2</xdr:col>
          <xdr:colOff>1524000</xdr:colOff>
          <xdr:row>28</xdr:row>
          <xdr:rowOff>22860</xdr:rowOff>
        </xdr:to>
        <xdr:sp macro="" textlink="">
          <xdr:nvSpPr>
            <xdr:cNvPr id="6154" name="AssignPlayerToTeam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1866900</xdr:colOff>
          <xdr:row>27</xdr:row>
          <xdr:rowOff>45720</xdr:rowOff>
        </xdr:from>
        <xdr:to>
          <xdr:col>4</xdr:col>
          <xdr:colOff>76200</xdr:colOff>
          <xdr:row>28</xdr:row>
          <xdr:rowOff>30480</xdr:rowOff>
        </xdr:to>
        <xdr:sp macro="" textlink="">
          <xdr:nvSpPr>
            <xdr:cNvPr id="6156" name="Search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27</xdr:row>
          <xdr:rowOff>30480</xdr:rowOff>
        </xdr:from>
        <xdr:to>
          <xdr:col>1</xdr:col>
          <xdr:colOff>1066800</xdr:colOff>
          <xdr:row>28</xdr:row>
          <xdr:rowOff>30480</xdr:rowOff>
        </xdr:to>
        <xdr:sp macro="" textlink="">
          <xdr:nvSpPr>
            <xdr:cNvPr id="6158" name="Back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1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670560</xdr:colOff>
          <xdr:row>27</xdr:row>
          <xdr:rowOff>30480</xdr:rowOff>
        </xdr:from>
        <xdr:to>
          <xdr:col>5</xdr:col>
          <xdr:colOff>381000</xdr:colOff>
          <xdr:row>28</xdr:row>
          <xdr:rowOff>30480</xdr:rowOff>
        </xdr:to>
        <xdr:sp macro="" textlink="">
          <xdr:nvSpPr>
            <xdr:cNvPr id="6172" name="CommandButton1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1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27</xdr:row>
          <xdr:rowOff>15240</xdr:rowOff>
        </xdr:from>
        <xdr:to>
          <xdr:col>5</xdr:col>
          <xdr:colOff>1508760</xdr:colOff>
          <xdr:row>28</xdr:row>
          <xdr:rowOff>15240</xdr:rowOff>
        </xdr:to>
        <xdr:sp macro="" textlink="">
          <xdr:nvSpPr>
            <xdr:cNvPr id="6196" name="CommandButton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1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27</xdr:row>
          <xdr:rowOff>22860</xdr:rowOff>
        </xdr:from>
        <xdr:to>
          <xdr:col>7</xdr:col>
          <xdr:colOff>594360</xdr:colOff>
          <xdr:row>28</xdr:row>
          <xdr:rowOff>22860</xdr:rowOff>
        </xdr:to>
        <xdr:sp macro="" textlink="">
          <xdr:nvSpPr>
            <xdr:cNvPr id="6197" name="CommandButton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1261745</xdr:colOff>
      <xdr:row>0</xdr:row>
      <xdr:rowOff>91891</xdr:rowOff>
    </xdr:from>
    <xdr:ext cx="5678170" cy="50373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871345" y="91891"/>
          <a:ext cx="5678170" cy="5037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Assign</a:t>
          </a:r>
          <a:r>
            <a:rPr lang="en-US" sz="32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 Player &amp; Qualification</a:t>
          </a:r>
          <a:endParaRPr lang="en-US" sz="32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solidFill>
              <a:schemeClr val="bg1"/>
            </a:solid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oneCellAnchor>
  <xdr:twoCellAnchor editAs="oneCell">
    <xdr:from>
      <xdr:col>6</xdr:col>
      <xdr:colOff>493396</xdr:colOff>
      <xdr:row>9</xdr:row>
      <xdr:rowOff>49985</xdr:rowOff>
    </xdr:from>
    <xdr:to>
      <xdr:col>8</xdr:col>
      <xdr:colOff>676275</xdr:colOff>
      <xdr:row>16</xdr:row>
      <xdr:rowOff>293370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996" b="94757" l="5017" r="96990">
                      <a14:foregroundMark x1="50336" y1="40226" x2="47987" y2="40977"/>
                      <a14:foregroundMark x1="18792" y1="12782" x2="59060" y2="10902"/>
                      <a14:foregroundMark x1="59060" y1="10902" x2="48658" y2="6391"/>
                      <a14:foregroundMark x1="44147" y1="38951" x2="51171" y2="37828"/>
                      <a14:foregroundMark x1="48829" y1="44569" x2="33779" y2="41199"/>
                      <a14:foregroundMark x1="38796" y1="41573" x2="44816" y2="39326"/>
                      <a14:foregroundMark x1="47157" y1="46816" x2="46488" y2="43446"/>
                      <a14:foregroundMark x1="48495" y1="40449" x2="32441" y2="37828"/>
                      <a14:foregroundMark x1="14381" y1="46067" x2="12040" y2="45318"/>
                      <a14:foregroundMark x1="12709" y1="45318" x2="7358" y2="52060"/>
                      <a14:foregroundMark x1="11706" y1="49064" x2="5351" y2="53184"/>
                      <a14:foregroundMark x1="29097" y1="47940" x2="31438" y2="69288"/>
                      <a14:foregroundMark x1="89632" y1="21348" x2="94649" y2="19101"/>
                      <a14:foregroundMark x1="85953" y1="3371" x2="85953" y2="3371"/>
                      <a14:foregroundMark x1="96990" y1="18352" x2="96990" y2="18352"/>
                      <a14:foregroundMark x1="33110" y1="89513" x2="33110" y2="89513"/>
                      <a14:foregroundMark x1="33110" y1="90637" x2="30435" y2="92509"/>
                      <a14:foregroundMark x1="31438" y1="91011" x2="27759" y2="94757"/>
                      <a14:foregroundMark x1="28763" y1="90637" x2="27090" y2="92509"/>
                      <a14:foregroundMark x1="50836" y1="89513" x2="54849" y2="93258"/>
                      <a14:foregroundMark x1="50836" y1="89513" x2="59866" y2="95131"/>
                      <a14:foregroundMark x1="52843" y1="88390" x2="56856" y2="94007"/>
                      <a14:foregroundMark x1="54515" y1="90637" x2="56522" y2="92509"/>
                      <a14:foregroundMark x1="41137" y1="6367" x2="41137" y2="6367"/>
                      <a14:foregroundMark x1="42140" y1="6367" x2="43478" y2="5618"/>
                      <a14:foregroundMark x1="44482" y1="11985" x2="45151" y2="5243"/>
                      <a14:foregroundMark x1="42475" y1="9363" x2="40803" y2="299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9046" y="1888310"/>
          <a:ext cx="1478279" cy="1338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179915</xdr:colOff>
      <xdr:row>0</xdr:row>
      <xdr:rowOff>0</xdr:rowOff>
    </xdr:from>
    <xdr:ext cx="6148917" cy="50373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9915" y="0"/>
          <a:ext cx="6148917" cy="5037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Berlin Sans FB Demi" panose="020E0802020502020306" pitchFamily="34" charset="0"/>
            </a:rPr>
            <a:t>Player's</a:t>
          </a:r>
          <a:r>
            <a:rPr lang="en-US" sz="4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Berlin Sans FB Demi" panose="020E0802020502020306" pitchFamily="34" charset="0"/>
            </a:rPr>
            <a:t> Information</a:t>
          </a:r>
          <a:endParaRPr lang="en-US" sz="4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Berlin Sans FB Demi" panose="020E0802020502020306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</xdr:row>
          <xdr:rowOff>182880</xdr:rowOff>
        </xdr:from>
        <xdr:to>
          <xdr:col>25</xdr:col>
          <xdr:colOff>45720</xdr:colOff>
          <xdr:row>5</xdr:row>
          <xdr:rowOff>320040</xdr:rowOff>
        </xdr:to>
        <xdr:sp macro="" textlink="">
          <xdr:nvSpPr>
            <xdr:cNvPr id="11265" name="ManagerMainPage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525780</xdr:colOff>
          <xdr:row>0</xdr:row>
          <xdr:rowOff>114300</xdr:rowOff>
        </xdr:from>
        <xdr:to>
          <xdr:col>19</xdr:col>
          <xdr:colOff>7620</xdr:colOff>
          <xdr:row>3</xdr:row>
          <xdr:rowOff>83820</xdr:rowOff>
        </xdr:to>
        <xdr:sp macro="" textlink="">
          <xdr:nvSpPr>
            <xdr:cNvPr id="11266" name="Exit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579120</xdr:colOff>
          <xdr:row>6</xdr:row>
          <xdr:rowOff>243840</xdr:rowOff>
        </xdr:from>
        <xdr:to>
          <xdr:col>26</xdr:col>
          <xdr:colOff>281940</xdr:colOff>
          <xdr:row>8</xdr:row>
          <xdr:rowOff>99060</xdr:rowOff>
        </xdr:to>
        <xdr:sp macro="" textlink="">
          <xdr:nvSpPr>
            <xdr:cNvPr id="11268" name="AssignPlayer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541020</xdr:colOff>
          <xdr:row>16</xdr:row>
          <xdr:rowOff>114300</xdr:rowOff>
        </xdr:from>
        <xdr:to>
          <xdr:col>25</xdr:col>
          <xdr:colOff>1744980</xdr:colOff>
          <xdr:row>18</xdr:row>
          <xdr:rowOff>137160</xdr:rowOff>
        </xdr:to>
        <xdr:sp macro="" textlink="">
          <xdr:nvSpPr>
            <xdr:cNvPr id="9217" name="Approv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49645</xdr:colOff>
      <xdr:row>0</xdr:row>
      <xdr:rowOff>69272</xdr:rowOff>
    </xdr:from>
    <xdr:ext cx="5310909" cy="503739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32245" y="69272"/>
          <a:ext cx="5310909" cy="5037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Berlin Sans FB Demi" panose="020E0802020502020306" pitchFamily="34" charset="0"/>
              <a:ea typeface="Segoe UI Black" panose="020B0A02040204020203" pitchFamily="34" charset="0"/>
            </a:rPr>
            <a:t>Manager Main</a:t>
          </a:r>
          <a:r>
            <a:rPr lang="en-US" sz="4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Berlin Sans FB Demi" panose="020E0802020502020306" pitchFamily="34" charset="0"/>
              <a:ea typeface="Segoe UI Black" panose="020B0A02040204020203" pitchFamily="34" charset="0"/>
            </a:rPr>
            <a:t> Page</a:t>
          </a:r>
          <a:endParaRPr lang="en-US" sz="4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Berlin Sans FB Demi" panose="020E0802020502020306" pitchFamily="34" charset="0"/>
            <a:ea typeface="Segoe UI Black" panose="020B0A02040204020203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22860</xdr:colOff>
          <xdr:row>21</xdr:row>
          <xdr:rowOff>0</xdr:rowOff>
        </xdr:from>
        <xdr:to>
          <xdr:col>25</xdr:col>
          <xdr:colOff>2324100</xdr:colOff>
          <xdr:row>22</xdr:row>
          <xdr:rowOff>251460</xdr:rowOff>
        </xdr:to>
        <xdr:sp macro="" textlink="">
          <xdr:nvSpPr>
            <xdr:cNvPr id="9220" name="CommandButton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68580</xdr:colOff>
          <xdr:row>0</xdr:row>
          <xdr:rowOff>114300</xdr:rowOff>
        </xdr:from>
        <xdr:to>
          <xdr:col>22</xdr:col>
          <xdr:colOff>1661160</xdr:colOff>
          <xdr:row>2</xdr:row>
          <xdr:rowOff>91440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525780</xdr:colOff>
          <xdr:row>18</xdr:row>
          <xdr:rowOff>251460</xdr:rowOff>
        </xdr:from>
        <xdr:to>
          <xdr:col>25</xdr:col>
          <xdr:colOff>1752600</xdr:colOff>
          <xdr:row>20</xdr:row>
          <xdr:rowOff>213360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10</xdr:row>
      <xdr:rowOff>152400</xdr:rowOff>
    </xdr:from>
    <xdr:to>
      <xdr:col>6</xdr:col>
      <xdr:colOff>495300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 RADEON" refreshedDate="44963.772144328701" createdVersion="8" refreshedVersion="8" minRefreshableVersion="3" recordCount="95" xr:uid="{356135BE-AAE2-43D7-9317-A2F14F036D91}">
  <cacheSource type="worksheet">
    <worksheetSource ref="A5:V100" sheet="ManagerMainPage"/>
  </cacheSource>
  <cacheFields count="22">
    <cacheField name="No" numFmtId="0">
      <sharedItems containsString="0" containsBlank="1" containsNumber="1" containsInteger="1" minValue="1" maxValue="7" count="8">
        <n v="1"/>
        <n v="2"/>
        <n v="3"/>
        <n v="4"/>
        <n v="5"/>
        <n v="6"/>
        <n v="7"/>
        <m/>
      </sharedItems>
    </cacheField>
    <cacheField name="Name" numFmtId="0">
      <sharedItems containsBlank="1"/>
    </cacheField>
    <cacheField name="Player ID" numFmtId="0">
      <sharedItems containsString="0" containsBlank="1" containsNumber="1" containsInteger="1" minValue="276433" maxValue="286000" count="8">
        <n v="277170"/>
        <n v="277851"/>
        <n v="286000"/>
        <n v="283165"/>
        <n v="281732"/>
        <n v="279017"/>
        <n v="276433"/>
        <m/>
      </sharedItems>
    </cacheField>
    <cacheField name="IC No." numFmtId="0">
      <sharedItems containsString="0" containsBlank="1" containsNumber="1" containsInteger="1" minValue="221070310" maxValue="10101076566"/>
    </cacheField>
    <cacheField name="Age" numFmtId="0">
      <sharedItems containsString="0" containsBlank="1" containsNumber="1" containsInteger="1" minValue="21" maxValue="22"/>
    </cacheField>
    <cacheField name="Religion" numFmtId="0">
      <sharedItems containsBlank="1"/>
    </cacheField>
    <cacheField name="Gender" numFmtId="0">
      <sharedItems containsBlank="1"/>
    </cacheField>
    <cacheField name="Contact No." numFmtId="0">
      <sharedItems containsBlank="1" containsMixedTypes="1" containsNumber="1" containsInteger="1" minValue="123466789" maxValue="1155836900"/>
    </cacheField>
    <cacheField name="Race" numFmtId="0">
      <sharedItems containsBlank="1"/>
    </cacheField>
    <cacheField name="Country" numFmtId="0">
      <sharedItems containsBlank="1"/>
    </cacheField>
    <cacheField name="State" numFmtId="0">
      <sharedItems containsBlank="1"/>
    </cacheField>
    <cacheField name="Height" numFmtId="0">
      <sharedItems containsString="0" containsBlank="1" containsNumber="1" containsInteger="1" minValue="157" maxValue="177"/>
    </cacheField>
    <cacheField name="Size" numFmtId="0">
      <sharedItems containsBlank="1"/>
    </cacheField>
    <cacheField name="Skill Set" numFmtId="0">
      <sharedItems containsString="0" containsBlank="1" containsNumber="1" containsInteger="1" minValue="4" maxValue="5" count="3">
        <n v="5"/>
        <n v="4"/>
        <m/>
      </sharedItems>
    </cacheField>
    <cacheField name="Communication" numFmtId="0">
      <sharedItems containsString="0" containsBlank="1" containsNumber="1" containsInteger="1" minValue="3" maxValue="5"/>
    </cacheField>
    <cacheField name="Mental Toughness" numFmtId="0">
      <sharedItems containsString="0" containsBlank="1" containsNumber="1" containsInteger="1" minValue="3" maxValue="5"/>
    </cacheField>
    <cacheField name="Attitude" numFmtId="0">
      <sharedItems containsString="0" containsBlank="1" containsNumber="1" containsInteger="1" minValue="2" maxValue="5"/>
    </cacheField>
    <cacheField name="Game Win" numFmtId="0">
      <sharedItems containsString="0" containsBlank="1" containsNumber="1" containsInteger="1" minValue="30" maxValue="80" count="8">
        <n v="60"/>
        <n v="55"/>
        <n v="52"/>
        <n v="68"/>
        <n v="80"/>
        <n v="45"/>
        <n v="30"/>
        <m/>
      </sharedItems>
    </cacheField>
    <cacheField name="Submitted on" numFmtId="0">
      <sharedItems containsNonDate="0" containsDate="1" containsString="0" containsBlank="1" minDate="2023-06-02T18:00:27" maxDate="2023-06-02T18:31:15"/>
    </cacheField>
    <cacheField name="Grade" numFmtId="0">
      <sharedItems count="4">
        <s v="A"/>
        <s v="B"/>
        <s v="C"/>
        <s v=""/>
      </sharedItems>
    </cacheField>
    <cacheField name="Total Capabilities Score" numFmtId="0">
      <sharedItems containsMixedTypes="1" containsNumber="1" containsInteger="1" minValue="12" maxValue="20" count="4">
        <n v="20"/>
        <n v="17"/>
        <n v="12"/>
        <s v=""/>
      </sharedItems>
    </cacheField>
    <cacheField name="Status" numFmtId="0">
      <sharedItems containsBlank="1" count="3">
        <s v="Approved"/>
        <s v="Rejecte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s v="TANG YIN YIN"/>
    <x v="0"/>
    <n v="221070310"/>
    <n v="22"/>
    <s v="BUDDHISM"/>
    <s v="FEMALE"/>
    <n v="162216057"/>
    <s v="CHINESE"/>
    <s v="MALAYSIA "/>
    <s v="PULAU PINANG"/>
    <n v="170"/>
    <s v="MEDIUM"/>
    <x v="0"/>
    <n v="5"/>
    <n v="5"/>
    <n v="5"/>
    <x v="0"/>
    <d v="2023-06-02T18:00:27"/>
    <x v="0"/>
    <x v="0"/>
    <x v="0"/>
  </r>
  <r>
    <x v="1"/>
    <s v="CHAN YEE TENG "/>
    <x v="1"/>
    <n v="509071122"/>
    <n v="22"/>
    <s v="BUDDHISM"/>
    <s v="FEMALE"/>
    <n v="1155836900"/>
    <s v="CHINESE"/>
    <s v="MALAYSIA "/>
    <s v="PULAU PINANG"/>
    <n v="160"/>
    <s v="SMALL"/>
    <x v="0"/>
    <n v="5"/>
    <n v="5"/>
    <n v="5"/>
    <x v="1"/>
    <d v="2023-06-02T18:01:49"/>
    <x v="0"/>
    <x v="0"/>
    <x v="0"/>
  </r>
  <r>
    <x v="2"/>
    <s v="CHEOK YOKE BOON"/>
    <x v="2"/>
    <n v="10101076566"/>
    <n v="21"/>
    <s v="BUDDHISM"/>
    <s v="FEMALE"/>
    <n v="126030716"/>
    <s v="CHINESE"/>
    <s v="MALAYSIA "/>
    <s v="SELANGOR"/>
    <n v="157"/>
    <s v="SMALL"/>
    <x v="0"/>
    <n v="5"/>
    <n v="5"/>
    <n v="5"/>
    <x v="2"/>
    <d v="2023-06-02T18:03:19"/>
    <x v="0"/>
    <x v="0"/>
    <x v="0"/>
  </r>
  <r>
    <x v="3"/>
    <s v="JUNIE"/>
    <x v="3"/>
    <n v="826075832"/>
    <n v="22"/>
    <s v="BUDDHISM"/>
    <s v="FEMALE"/>
    <n v="123466789"/>
    <s v="CHINESE"/>
    <s v="MALAYSIA "/>
    <s v="KELANTAN "/>
    <n v="168"/>
    <s v="MEDIUM"/>
    <x v="0"/>
    <n v="5"/>
    <n v="5"/>
    <n v="5"/>
    <x v="3"/>
    <d v="2023-06-02T18:04:50"/>
    <x v="0"/>
    <x v="0"/>
    <x v="0"/>
  </r>
  <r>
    <x v="4"/>
    <s v="LIM WEI RU"/>
    <x v="4"/>
    <n v="726070514"/>
    <n v="22"/>
    <s v="BUDDHISM"/>
    <s v="FEMALE"/>
    <n v="187566544"/>
    <s v="CHINESE"/>
    <s v="MALAYSIA "/>
    <s v="PERAK"/>
    <n v="165"/>
    <s v="MEDIUM"/>
    <x v="0"/>
    <n v="5"/>
    <n v="5"/>
    <n v="5"/>
    <x v="4"/>
    <d v="2023-06-02T18:06:28"/>
    <x v="0"/>
    <x v="0"/>
    <x v="0"/>
  </r>
  <r>
    <x v="5"/>
    <s v="CHOW ZHENG HENG"/>
    <x v="5"/>
    <n v="613148855"/>
    <n v="22"/>
    <s v="BUDDHISM"/>
    <s v="MALE "/>
    <s v="012-0657089"/>
    <s v="CHINESE"/>
    <s v="MALAYSIA "/>
    <s v="MELAKA "/>
    <n v="177"/>
    <s v="MEDIUM"/>
    <x v="1"/>
    <n v="4"/>
    <n v="4"/>
    <n v="5"/>
    <x v="5"/>
    <d v="2023-06-02T18:11:00"/>
    <x v="1"/>
    <x v="1"/>
    <x v="1"/>
  </r>
  <r>
    <x v="6"/>
    <s v="VALYN NG "/>
    <x v="6"/>
    <n v="517074356"/>
    <n v="22"/>
    <s v="BUDDHISM"/>
    <s v="FEMALE"/>
    <n v="198788653"/>
    <s v="CHINESE"/>
    <s v="MALAYSIA "/>
    <s v="SARAWAK"/>
    <n v="163"/>
    <s v="MEDIUM"/>
    <x v="1"/>
    <n v="3"/>
    <n v="3"/>
    <n v="2"/>
    <x v="6"/>
    <d v="2023-06-02T18:31:15"/>
    <x v="2"/>
    <x v="2"/>
    <x v="1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8C8213-A9F8-4326-B3A5-C5C86B8D15E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8" firstHeaderRow="1" firstDataRow="2" firstDataCol="1" rowPageCount="1" colPageCount="1"/>
  <pivotFields count="22"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>
      <items count="9">
        <item x="6"/>
        <item x="0"/>
        <item x="1"/>
        <item x="5"/>
        <item x="4"/>
        <item x="3"/>
        <item x="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>
      <items count="9">
        <item x="6"/>
        <item x="5"/>
        <item x="2"/>
        <item x="1"/>
        <item x="0"/>
        <item x="3"/>
        <item x="4"/>
        <item x="7"/>
        <item t="default"/>
      </items>
    </pivotField>
    <pivotField showAll="0"/>
    <pivotField axis="axisCol" showAll="0">
      <items count="5">
        <item x="3"/>
        <item x="0"/>
        <item x="1"/>
        <item x="2"/>
        <item t="default"/>
      </items>
    </pivotField>
    <pivotField axis="axisPage" showAll="0">
      <items count="5">
        <item x="2"/>
        <item x="1"/>
        <item x="0"/>
        <item x="3"/>
        <item t="default"/>
      </items>
    </pivotField>
    <pivotField axis="axisRow" dataField="1" showAll="0" sortType="ascending">
      <items count="4">
        <item x="0"/>
        <item x="1"/>
        <item h="1" x="2"/>
        <item t="default"/>
      </items>
    </pivotField>
  </pivotFields>
  <rowFields count="1">
    <field x="21"/>
  </rowFields>
  <rowItems count="3">
    <i>
      <x/>
    </i>
    <i>
      <x v="1"/>
    </i>
    <i t="grand">
      <x/>
    </i>
  </rowItems>
  <colFields count="1">
    <field x="19"/>
  </colFields>
  <colItems count="4"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Status" fld="21" subtotal="count" baseField="0" baseItem="0"/>
  </dataFields>
  <formats count="4">
    <format dxfId="3">
      <pivotArea collapsedLevelsAreSubtotals="1" fieldPosition="0">
        <references count="2">
          <reference field="19" count="3" selected="0">
            <x v="1"/>
            <x v="2"/>
            <x v="3"/>
          </reference>
          <reference field="21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19" count="3">
            <x v="1"/>
            <x v="2"/>
            <x v="3"/>
          </reference>
        </references>
      </pivotArea>
    </format>
    <format dxfId="0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E359-CEB6-4F3C-AC6F-8AFF2CAAFA05}">
  <sheetPr codeName="Sheet1"/>
  <dimension ref="A20:A25"/>
  <sheetViews>
    <sheetView showGridLines="0" tabSelected="1" zoomScale="80" zoomScaleNormal="80" zoomScaleSheetLayoutView="90" zoomScalePageLayoutView="50" workbookViewId="0">
      <selection activeCell="O17" sqref="O17"/>
    </sheetView>
  </sheetViews>
  <sheetFormatPr defaultRowHeight="14.4" x14ac:dyDescent="0.3"/>
  <cols>
    <col min="9" max="9" width="8.88671875" bestFit="1" customWidth="1"/>
  </cols>
  <sheetData>
    <row r="20" spans="1:1" x14ac:dyDescent="0.3">
      <c r="A20" s="11"/>
    </row>
    <row r="21" spans="1:1" x14ac:dyDescent="0.3">
      <c r="A21" s="9"/>
    </row>
    <row r="23" spans="1:1" x14ac:dyDescent="0.3">
      <c r="A23" s="9"/>
    </row>
    <row r="25" spans="1:1" x14ac:dyDescent="0.3">
      <c r="A25" s="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MainPage">
          <controlPr defaultSize="0" autoLine="0" r:id="rId5">
            <anchor moveWithCells="1">
              <from>
                <xdr:col>5</xdr:col>
                <xdr:colOff>38100</xdr:colOff>
                <xdr:row>14</xdr:row>
                <xdr:rowOff>160020</xdr:rowOff>
              </from>
              <to>
                <xdr:col>7</xdr:col>
                <xdr:colOff>396240</xdr:colOff>
                <xdr:row>17</xdr:row>
                <xdr:rowOff>99060</xdr:rowOff>
              </to>
            </anchor>
          </controlPr>
        </control>
      </mc:Choice>
      <mc:Fallback>
        <control shapeId="1025" r:id="rId4" name="MainPage"/>
      </mc:Fallback>
    </mc:AlternateContent>
    <mc:AlternateContent xmlns:mc="http://schemas.openxmlformats.org/markup-compatibility/2006">
      <mc:Choice Requires="x14">
        <control shapeId="1026" r:id="rId6" name="ASSIGNPLAYER">
          <controlPr defaultSize="0" autoLine="0" r:id="rId7">
            <anchor moveWithCells="1">
              <from>
                <xdr:col>3</xdr:col>
                <xdr:colOff>205740</xdr:colOff>
                <xdr:row>10</xdr:row>
                <xdr:rowOff>0</xdr:rowOff>
              </from>
              <to>
                <xdr:col>9</xdr:col>
                <xdr:colOff>411480</xdr:colOff>
                <xdr:row>13</xdr:row>
                <xdr:rowOff>38100</xdr:rowOff>
              </to>
            </anchor>
          </controlPr>
        </control>
      </mc:Choice>
      <mc:Fallback>
        <control shapeId="1026" r:id="rId6" name="ASSIGNPLAY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3AF3D-7B6B-4099-9AE8-212182D4FA96}">
  <sheetPr codeName="Sheet2"/>
  <dimension ref="A1:I47"/>
  <sheetViews>
    <sheetView showGridLines="0" zoomScale="80" zoomScaleNormal="80" workbookViewId="0">
      <selection activeCell="F25" sqref="F25"/>
    </sheetView>
  </sheetViews>
  <sheetFormatPr defaultRowHeight="14.4" x14ac:dyDescent="0.3"/>
  <cols>
    <col min="2" max="2" width="19" customWidth="1"/>
    <col min="3" max="3" width="32.109375" customWidth="1"/>
    <col min="4" max="4" width="4" customWidth="1"/>
    <col min="5" max="5" width="17.5546875" customWidth="1"/>
    <col min="6" max="6" width="22.109375" bestFit="1" customWidth="1"/>
    <col min="7" max="8" width="9.44140625" customWidth="1"/>
    <col min="9" max="9" width="14.109375" customWidth="1"/>
  </cols>
  <sheetData>
    <row r="1" spans="1:9" x14ac:dyDescent="0.3">
      <c r="A1" s="12"/>
      <c r="B1" s="12"/>
      <c r="C1" s="12"/>
      <c r="D1" s="12"/>
      <c r="E1" s="12"/>
      <c r="F1" s="12"/>
      <c r="G1" s="12"/>
      <c r="H1" s="12"/>
      <c r="I1" s="12"/>
    </row>
    <row r="2" spans="1:9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30" customHeight="1" thickBot="1" x14ac:dyDescent="0.35">
      <c r="A3" s="12"/>
      <c r="B3" s="12"/>
      <c r="C3" s="12"/>
      <c r="D3" s="12"/>
      <c r="E3" s="12"/>
      <c r="F3" s="12"/>
      <c r="G3" s="12"/>
      <c r="H3" s="12"/>
      <c r="I3" s="12"/>
    </row>
    <row r="4" spans="1:9" ht="24.6" customHeight="1" thickBot="1" x14ac:dyDescent="0.35">
      <c r="A4" s="28"/>
      <c r="B4" s="96" t="s">
        <v>64</v>
      </c>
      <c r="C4" s="96"/>
      <c r="D4" s="96"/>
      <c r="E4" s="96"/>
      <c r="F4" s="96"/>
      <c r="G4" s="96"/>
      <c r="H4" s="96"/>
      <c r="I4" s="29"/>
    </row>
    <row r="5" spans="1:9" ht="15" thickBot="1" x14ac:dyDescent="0.35">
      <c r="A5" s="19"/>
      <c r="B5" s="19"/>
      <c r="C5" s="19"/>
      <c r="D5" s="19"/>
      <c r="E5" s="19"/>
      <c r="F5" s="19"/>
      <c r="G5" s="19"/>
      <c r="H5" s="19"/>
      <c r="I5" s="19"/>
    </row>
    <row r="6" spans="1:9" ht="16.5" customHeight="1" thickBot="1" x14ac:dyDescent="0.35">
      <c r="A6" s="20"/>
      <c r="B6" s="21" t="s">
        <v>9</v>
      </c>
      <c r="C6" s="15"/>
      <c r="D6" s="23"/>
      <c r="E6" s="21" t="s">
        <v>30</v>
      </c>
      <c r="F6" s="13"/>
      <c r="G6" s="26" t="s">
        <v>26</v>
      </c>
      <c r="H6" s="19"/>
      <c r="I6" s="19"/>
    </row>
    <row r="7" spans="1:9" ht="6.6" customHeight="1" thickBot="1" x14ac:dyDescent="0.35">
      <c r="A7" s="19"/>
      <c r="B7" s="21"/>
      <c r="C7" s="23"/>
      <c r="D7" s="23"/>
      <c r="E7" s="21"/>
      <c r="F7" s="27"/>
      <c r="G7" s="19"/>
      <c r="H7" s="19"/>
      <c r="I7" s="19"/>
    </row>
    <row r="8" spans="1:9" ht="16.5" customHeight="1" thickBot="1" x14ac:dyDescent="0.35">
      <c r="A8" s="19"/>
      <c r="B8" s="21" t="s">
        <v>12</v>
      </c>
      <c r="C8" s="16"/>
      <c r="D8" s="24"/>
      <c r="E8" s="30" t="s">
        <v>32</v>
      </c>
      <c r="F8" s="45"/>
      <c r="G8" s="19"/>
      <c r="H8" s="19"/>
      <c r="I8" s="19"/>
    </row>
    <row r="9" spans="1:9" ht="6.6" customHeight="1" thickBot="1" x14ac:dyDescent="0.35">
      <c r="A9" s="19"/>
      <c r="B9" s="21"/>
      <c r="C9" s="23"/>
      <c r="D9" s="23"/>
      <c r="E9" s="19"/>
      <c r="F9" s="19"/>
      <c r="G9" s="19"/>
      <c r="H9" s="19"/>
      <c r="I9" s="19"/>
    </row>
    <row r="10" spans="1:9" ht="16.5" customHeight="1" thickBot="1" x14ac:dyDescent="0.35">
      <c r="A10" s="19"/>
      <c r="B10" s="21" t="s">
        <v>10</v>
      </c>
      <c r="C10" s="15"/>
      <c r="D10" s="23"/>
      <c r="E10" s="21" t="s">
        <v>14</v>
      </c>
      <c r="F10" s="13"/>
      <c r="G10" s="19"/>
      <c r="H10" s="19"/>
      <c r="I10" s="19"/>
    </row>
    <row r="11" spans="1:9" ht="6.6" customHeight="1" thickBot="1" x14ac:dyDescent="0.35">
      <c r="A11" s="19"/>
      <c r="B11" s="21"/>
      <c r="C11" s="23"/>
      <c r="D11" s="23"/>
      <c r="E11" s="21"/>
      <c r="F11" s="27"/>
      <c r="G11" s="19"/>
      <c r="H11" s="19"/>
      <c r="I11" s="19"/>
    </row>
    <row r="12" spans="1:9" ht="16.5" customHeight="1" thickBot="1" x14ac:dyDescent="0.35">
      <c r="A12" s="19"/>
      <c r="B12" s="21" t="s">
        <v>11</v>
      </c>
      <c r="C12" s="17"/>
      <c r="D12" s="25"/>
      <c r="E12" s="21" t="s">
        <v>15</v>
      </c>
      <c r="F12" s="13"/>
      <c r="G12" s="19"/>
      <c r="H12" s="19"/>
      <c r="I12" s="19"/>
    </row>
    <row r="13" spans="1:9" ht="6.6" customHeight="1" thickBot="1" x14ac:dyDescent="0.35">
      <c r="A13" s="19"/>
      <c r="B13" s="21"/>
      <c r="C13" s="23"/>
      <c r="D13" s="23"/>
      <c r="E13" s="21"/>
      <c r="F13" s="27"/>
      <c r="G13" s="19"/>
      <c r="H13" s="19"/>
      <c r="I13" s="19"/>
    </row>
    <row r="14" spans="1:9" ht="16.5" customHeight="1" thickBot="1" x14ac:dyDescent="0.35">
      <c r="A14" s="19"/>
      <c r="B14" s="21" t="s">
        <v>13</v>
      </c>
      <c r="C14" s="15"/>
      <c r="D14" s="23"/>
      <c r="E14" s="21" t="s">
        <v>16</v>
      </c>
      <c r="F14" s="13"/>
      <c r="G14" s="19"/>
      <c r="H14" s="19"/>
      <c r="I14" s="19"/>
    </row>
    <row r="15" spans="1:9" ht="6.6" customHeight="1" x14ac:dyDescent="0.3">
      <c r="A15" s="19"/>
      <c r="B15" s="21"/>
      <c r="C15" s="23"/>
      <c r="D15" s="23"/>
      <c r="E15" s="21"/>
      <c r="F15" s="27"/>
      <c r="G15" s="19"/>
      <c r="H15" s="19"/>
      <c r="I15" s="19"/>
    </row>
    <row r="16" spans="1:9" ht="16.5" customHeight="1" thickBot="1" x14ac:dyDescent="0.35">
      <c r="A16" s="19"/>
      <c r="B16" s="19"/>
      <c r="C16" s="19"/>
      <c r="D16" s="19"/>
      <c r="E16" s="19"/>
      <c r="F16" s="22"/>
      <c r="G16" s="19"/>
      <c r="H16" s="19"/>
      <c r="I16" s="19"/>
    </row>
    <row r="17" spans="1:9" ht="23.4" customHeight="1" thickBot="1" x14ac:dyDescent="0.35">
      <c r="A17" s="32"/>
      <c r="B17" s="33"/>
      <c r="C17" s="97" t="s">
        <v>63</v>
      </c>
      <c r="D17" s="97"/>
      <c r="E17" s="97"/>
      <c r="F17" s="97"/>
      <c r="G17" s="97"/>
      <c r="H17" s="34"/>
      <c r="I17" s="35"/>
    </row>
    <row r="18" spans="1:9" ht="15" thickBot="1" x14ac:dyDescent="0.35">
      <c r="A18" s="36"/>
      <c r="B18" s="36"/>
      <c r="C18" s="36"/>
      <c r="D18" s="36"/>
      <c r="E18" s="36"/>
      <c r="F18" s="36"/>
      <c r="G18" s="36"/>
      <c r="H18" s="36"/>
      <c r="I18" s="36"/>
    </row>
    <row r="19" spans="1:9" ht="16.2" thickBot="1" x14ac:dyDescent="0.35">
      <c r="A19" s="36"/>
      <c r="B19" s="37" t="s">
        <v>33</v>
      </c>
      <c r="C19" s="31"/>
      <c r="D19" s="36"/>
      <c r="E19" s="37" t="s">
        <v>36</v>
      </c>
      <c r="F19" s="92"/>
      <c r="G19" s="36"/>
      <c r="H19" s="36"/>
      <c r="I19" s="36"/>
    </row>
    <row r="20" spans="1:9" ht="7.8" customHeight="1" thickBot="1" x14ac:dyDescent="0.35">
      <c r="A20" s="36"/>
      <c r="B20" s="37"/>
      <c r="C20" s="38"/>
      <c r="D20" s="36"/>
      <c r="E20" s="36"/>
      <c r="F20" s="93"/>
      <c r="G20" s="36"/>
      <c r="H20" s="36"/>
      <c r="I20" s="36"/>
    </row>
    <row r="21" spans="1:9" ht="16.2" thickBot="1" x14ac:dyDescent="0.35">
      <c r="A21" s="36"/>
      <c r="B21" s="37" t="s">
        <v>35</v>
      </c>
      <c r="C21" s="31"/>
      <c r="D21" s="36"/>
      <c r="E21" s="39" t="s">
        <v>38</v>
      </c>
      <c r="F21" s="92"/>
      <c r="G21" s="36"/>
      <c r="H21" s="36"/>
      <c r="I21" s="36"/>
    </row>
    <row r="22" spans="1:9" ht="8.4" customHeight="1" thickBot="1" x14ac:dyDescent="0.35">
      <c r="A22" s="36"/>
      <c r="B22" s="37"/>
      <c r="C22" s="38"/>
      <c r="D22" s="36"/>
      <c r="E22" s="40"/>
      <c r="F22" s="93"/>
      <c r="G22" s="36"/>
      <c r="H22" s="36"/>
      <c r="I22" s="36"/>
    </row>
    <row r="23" spans="1:9" ht="16.2" thickBot="1" x14ac:dyDescent="0.35">
      <c r="A23" s="36"/>
      <c r="B23" s="41" t="s">
        <v>49</v>
      </c>
      <c r="C23" s="31"/>
      <c r="D23" s="36"/>
      <c r="E23" s="37" t="s">
        <v>37</v>
      </c>
      <c r="F23" s="92"/>
      <c r="G23" s="36"/>
      <c r="H23" s="36"/>
      <c r="I23" s="36"/>
    </row>
    <row r="24" spans="1:9" ht="7.2" customHeight="1" thickBot="1" x14ac:dyDescent="0.35">
      <c r="A24" s="36"/>
      <c r="B24" s="37"/>
      <c r="C24" s="38"/>
      <c r="D24" s="36"/>
      <c r="E24" s="36"/>
      <c r="F24" s="36"/>
      <c r="G24" s="36"/>
      <c r="H24" s="36"/>
      <c r="I24" s="36"/>
    </row>
    <row r="25" spans="1:9" ht="16.2" thickBot="1" x14ac:dyDescent="0.35">
      <c r="A25" s="36"/>
      <c r="B25" s="39" t="s">
        <v>54</v>
      </c>
      <c r="C25" s="31"/>
      <c r="D25" s="36"/>
      <c r="E25" s="39" t="s">
        <v>118</v>
      </c>
      <c r="F25" s="31"/>
      <c r="G25" s="36"/>
      <c r="H25" s="36"/>
      <c r="I25" s="36"/>
    </row>
    <row r="26" spans="1:9" ht="15.6" x14ac:dyDescent="0.3">
      <c r="A26" s="36"/>
      <c r="B26" s="37"/>
      <c r="C26" s="38"/>
      <c r="D26" s="36"/>
      <c r="E26" s="36"/>
      <c r="F26" s="36"/>
      <c r="G26" s="36"/>
      <c r="H26" s="36"/>
      <c r="I26" s="36"/>
    </row>
    <row r="27" spans="1:9" x14ac:dyDescent="0.3">
      <c r="A27" s="42"/>
      <c r="B27" s="42"/>
      <c r="C27" s="42"/>
      <c r="D27" s="42"/>
      <c r="E27" s="42"/>
      <c r="F27" s="42"/>
      <c r="G27" s="42"/>
      <c r="H27" s="42"/>
      <c r="I27" s="42"/>
    </row>
    <row r="28" spans="1:9" ht="24" customHeight="1" x14ac:dyDescent="0.3">
      <c r="A28" s="42"/>
      <c r="B28" s="42"/>
      <c r="C28" s="42"/>
      <c r="D28" s="42"/>
      <c r="E28" s="43"/>
      <c r="F28" s="42"/>
      <c r="G28" s="42"/>
      <c r="H28" s="42"/>
      <c r="I28" s="42"/>
    </row>
    <row r="29" spans="1:9" x14ac:dyDescent="0.3">
      <c r="A29" s="42"/>
      <c r="B29" s="42"/>
      <c r="C29" s="42"/>
      <c r="D29" s="42"/>
      <c r="E29" s="42"/>
      <c r="F29" s="42"/>
      <c r="G29" s="42"/>
      <c r="H29" s="42"/>
      <c r="I29" s="42"/>
    </row>
    <row r="30" spans="1:9" x14ac:dyDescent="0.3">
      <c r="A30" s="42"/>
      <c r="B30" s="42"/>
      <c r="C30" s="42"/>
      <c r="D30" s="42"/>
      <c r="E30" s="42"/>
      <c r="F30" s="42"/>
      <c r="G30" s="42"/>
      <c r="H30" s="42"/>
      <c r="I30" s="42"/>
    </row>
    <row r="31" spans="1:9" x14ac:dyDescent="0.3">
      <c r="A31" s="44" t="s">
        <v>24</v>
      </c>
      <c r="B31" s="42"/>
      <c r="C31" s="42"/>
      <c r="D31" s="42"/>
      <c r="E31" s="42"/>
      <c r="F31" s="42"/>
      <c r="G31" s="42"/>
      <c r="H31" s="42"/>
      <c r="I31" s="42"/>
    </row>
    <row r="32" spans="1:9" x14ac:dyDescent="0.3">
      <c r="A32" s="42" t="s">
        <v>99</v>
      </c>
      <c r="B32" s="42"/>
      <c r="C32" s="42"/>
      <c r="D32" s="42"/>
      <c r="E32" s="42"/>
      <c r="F32" s="42"/>
      <c r="G32" s="42"/>
      <c r="H32" s="42"/>
      <c r="I32" s="42"/>
    </row>
    <row r="33" spans="1:9" x14ac:dyDescent="0.3">
      <c r="A33" s="42"/>
      <c r="B33" s="42"/>
      <c r="C33" s="42"/>
      <c r="D33" s="42"/>
      <c r="E33" s="42"/>
      <c r="F33" s="42"/>
      <c r="G33" s="42"/>
      <c r="H33" s="42"/>
      <c r="I33" s="42"/>
    </row>
    <row r="34" spans="1:9" x14ac:dyDescent="0.3">
      <c r="A34" s="42" t="s">
        <v>25</v>
      </c>
      <c r="B34" s="42"/>
      <c r="C34" s="42"/>
      <c r="D34" s="42"/>
      <c r="E34" s="42"/>
      <c r="F34" s="42"/>
      <c r="G34" s="42"/>
      <c r="H34" s="42"/>
      <c r="I34" s="42"/>
    </row>
    <row r="35" spans="1:9" x14ac:dyDescent="0.3">
      <c r="A35" s="42"/>
      <c r="B35" s="42"/>
      <c r="C35" s="42"/>
      <c r="D35" s="42"/>
      <c r="E35" s="42"/>
      <c r="F35" s="42"/>
      <c r="G35" s="42"/>
      <c r="H35" s="42"/>
      <c r="I35" s="42"/>
    </row>
    <row r="36" spans="1:9" x14ac:dyDescent="0.3">
      <c r="A36" s="42" t="s">
        <v>100</v>
      </c>
      <c r="B36" s="42"/>
      <c r="C36" s="42"/>
      <c r="D36" s="42"/>
      <c r="E36" s="42"/>
      <c r="F36" s="42"/>
      <c r="G36" s="42"/>
      <c r="H36" s="42"/>
      <c r="I36" s="42"/>
    </row>
    <row r="37" spans="1:9" x14ac:dyDescent="0.3">
      <c r="A37" s="42"/>
      <c r="B37" s="42"/>
      <c r="C37" s="42"/>
      <c r="D37" s="42"/>
      <c r="E37" s="42"/>
      <c r="F37" s="42"/>
      <c r="G37" s="42"/>
      <c r="H37" s="42"/>
      <c r="I37" s="42"/>
    </row>
    <row r="38" spans="1:9" x14ac:dyDescent="0.3">
      <c r="A38" s="42" t="s">
        <v>65</v>
      </c>
      <c r="B38" s="42"/>
      <c r="C38" s="42"/>
      <c r="D38" s="42"/>
      <c r="E38" s="42"/>
      <c r="F38" s="42"/>
      <c r="G38" s="42"/>
      <c r="H38" s="42"/>
      <c r="I38" s="42"/>
    </row>
    <row r="39" spans="1:9" x14ac:dyDescent="0.3">
      <c r="A39" s="42"/>
      <c r="B39" s="42"/>
      <c r="C39" s="42"/>
      <c r="D39" s="42"/>
      <c r="E39" s="42"/>
      <c r="F39" s="42"/>
      <c r="G39" s="42"/>
      <c r="H39" s="42"/>
      <c r="I39" s="42"/>
    </row>
    <row r="40" spans="1:9" x14ac:dyDescent="0.3">
      <c r="A40" s="42" t="s">
        <v>67</v>
      </c>
      <c r="B40" s="42"/>
      <c r="C40" s="42"/>
      <c r="D40" s="42"/>
      <c r="E40" s="42"/>
      <c r="F40" s="42"/>
      <c r="G40" s="42"/>
      <c r="H40" s="42"/>
      <c r="I40" s="42"/>
    </row>
    <row r="41" spans="1:9" x14ac:dyDescent="0.3">
      <c r="A41" s="42"/>
      <c r="B41" s="42"/>
      <c r="C41" s="42"/>
      <c r="D41" s="42"/>
      <c r="E41" s="42"/>
      <c r="F41" s="42"/>
      <c r="G41" s="42"/>
      <c r="H41" s="42"/>
      <c r="I41" s="42"/>
    </row>
    <row r="42" spans="1:9" x14ac:dyDescent="0.3">
      <c r="A42" s="42" t="s">
        <v>66</v>
      </c>
      <c r="B42" s="42"/>
      <c r="C42" s="42"/>
      <c r="D42" s="42"/>
      <c r="E42" s="42"/>
      <c r="F42" s="42"/>
      <c r="G42" s="42"/>
      <c r="H42" s="42"/>
      <c r="I42" s="42"/>
    </row>
    <row r="43" spans="1:9" x14ac:dyDescent="0.3">
      <c r="A43" s="42"/>
      <c r="B43" s="42"/>
      <c r="C43" s="42"/>
      <c r="D43" s="42"/>
      <c r="E43" s="42"/>
      <c r="F43" s="42"/>
      <c r="G43" s="42"/>
      <c r="H43" s="42"/>
      <c r="I43" s="42"/>
    </row>
    <row r="44" spans="1:9" x14ac:dyDescent="0.3">
      <c r="A44" s="42" t="s">
        <v>68</v>
      </c>
      <c r="B44" s="42"/>
      <c r="C44" s="42"/>
      <c r="D44" s="42"/>
      <c r="E44" s="42"/>
      <c r="F44" s="42"/>
      <c r="G44" s="42"/>
      <c r="H44" s="42"/>
      <c r="I44" s="42"/>
    </row>
    <row r="45" spans="1:9" x14ac:dyDescent="0.3">
      <c r="A45" s="42"/>
      <c r="B45" s="42"/>
      <c r="C45" s="42"/>
      <c r="D45" s="42"/>
      <c r="E45" s="42"/>
      <c r="F45" s="42"/>
      <c r="G45" s="42"/>
      <c r="H45" s="42"/>
      <c r="I45" s="42"/>
    </row>
    <row r="46" spans="1:9" x14ac:dyDescent="0.3">
      <c r="A46" s="57" t="s">
        <v>69</v>
      </c>
      <c r="B46" s="58"/>
      <c r="C46" s="58"/>
      <c r="D46" s="42"/>
      <c r="E46" s="42"/>
      <c r="F46" s="42"/>
      <c r="G46" s="42"/>
      <c r="H46" s="42"/>
      <c r="I46" s="42"/>
    </row>
    <row r="47" spans="1:9" x14ac:dyDescent="0.3">
      <c r="A47" s="42"/>
      <c r="B47" s="42"/>
      <c r="C47" s="42"/>
      <c r="D47" s="42"/>
      <c r="E47" s="42"/>
      <c r="F47" s="42"/>
      <c r="G47" s="42"/>
      <c r="H47" s="42"/>
      <c r="I47" s="42"/>
    </row>
  </sheetData>
  <dataConsolidate/>
  <mergeCells count="2">
    <mergeCell ref="B4:H4"/>
    <mergeCell ref="C17:G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72" r:id="rId4" name="CommandButton1">
          <controlPr defaultSize="0" autoLine="0" r:id="rId5">
            <anchor moveWithCells="1">
              <from>
                <xdr:col>4</xdr:col>
                <xdr:colOff>670560</xdr:colOff>
                <xdr:row>27</xdr:row>
                <xdr:rowOff>30480</xdr:rowOff>
              </from>
              <to>
                <xdr:col>5</xdr:col>
                <xdr:colOff>381000</xdr:colOff>
                <xdr:row>28</xdr:row>
                <xdr:rowOff>30480</xdr:rowOff>
              </to>
            </anchor>
          </controlPr>
        </control>
      </mc:Choice>
      <mc:Fallback>
        <control shapeId="6172" r:id="rId4" name="CommandButton1"/>
      </mc:Fallback>
    </mc:AlternateContent>
    <mc:AlternateContent xmlns:mc="http://schemas.openxmlformats.org/markup-compatibility/2006">
      <mc:Choice Requires="x14">
        <control shapeId="6154" r:id="rId6" name="AssignPlayerToTeam">
          <controlPr defaultSize="0" autoLine="0" r:id="rId7">
            <anchor moveWithCells="1">
              <from>
                <xdr:col>2</xdr:col>
                <xdr:colOff>129540</xdr:colOff>
                <xdr:row>27</xdr:row>
                <xdr:rowOff>45720</xdr:rowOff>
              </from>
              <to>
                <xdr:col>2</xdr:col>
                <xdr:colOff>1524000</xdr:colOff>
                <xdr:row>28</xdr:row>
                <xdr:rowOff>22860</xdr:rowOff>
              </to>
            </anchor>
          </controlPr>
        </control>
      </mc:Choice>
      <mc:Fallback>
        <control shapeId="6154" r:id="rId6" name="AssignPlayerToTeam"/>
      </mc:Fallback>
    </mc:AlternateContent>
    <mc:AlternateContent xmlns:mc="http://schemas.openxmlformats.org/markup-compatibility/2006">
      <mc:Choice Requires="x14">
        <control shapeId="6156" r:id="rId8" name="Search">
          <controlPr defaultSize="0" autoLine="0" autoPict="0" r:id="rId9">
            <anchor moveWithCells="1">
              <from>
                <xdr:col>2</xdr:col>
                <xdr:colOff>1866900</xdr:colOff>
                <xdr:row>27</xdr:row>
                <xdr:rowOff>45720</xdr:rowOff>
              </from>
              <to>
                <xdr:col>4</xdr:col>
                <xdr:colOff>76200</xdr:colOff>
                <xdr:row>28</xdr:row>
                <xdr:rowOff>30480</xdr:rowOff>
              </to>
            </anchor>
          </controlPr>
        </control>
      </mc:Choice>
      <mc:Fallback>
        <control shapeId="6156" r:id="rId8" name="Search"/>
      </mc:Fallback>
    </mc:AlternateContent>
    <mc:AlternateContent xmlns:mc="http://schemas.openxmlformats.org/markup-compatibility/2006">
      <mc:Choice Requires="x14">
        <control shapeId="6158" r:id="rId10" name="Back">
          <controlPr defaultSize="0" autoLine="0" r:id="rId11">
            <anchor moveWithCells="1">
              <from>
                <xdr:col>1</xdr:col>
                <xdr:colOff>152400</xdr:colOff>
                <xdr:row>27</xdr:row>
                <xdr:rowOff>30480</xdr:rowOff>
              </from>
              <to>
                <xdr:col>1</xdr:col>
                <xdr:colOff>1066800</xdr:colOff>
                <xdr:row>28</xdr:row>
                <xdr:rowOff>30480</xdr:rowOff>
              </to>
            </anchor>
          </controlPr>
        </control>
      </mc:Choice>
      <mc:Fallback>
        <control shapeId="6158" r:id="rId10" name="Back"/>
      </mc:Fallback>
    </mc:AlternateContent>
    <mc:AlternateContent xmlns:mc="http://schemas.openxmlformats.org/markup-compatibility/2006">
      <mc:Choice Requires="x14">
        <control shapeId="6196" r:id="rId12" name="CommandButton2">
          <controlPr defaultSize="0" autoLine="0" r:id="rId13">
            <anchor moveWithCells="1">
              <from>
                <xdr:col>5</xdr:col>
                <xdr:colOff>601980</xdr:colOff>
                <xdr:row>27</xdr:row>
                <xdr:rowOff>15240</xdr:rowOff>
              </from>
              <to>
                <xdr:col>5</xdr:col>
                <xdr:colOff>1508760</xdr:colOff>
                <xdr:row>28</xdr:row>
                <xdr:rowOff>15240</xdr:rowOff>
              </to>
            </anchor>
          </controlPr>
        </control>
      </mc:Choice>
      <mc:Fallback>
        <control shapeId="6196" r:id="rId12" name="CommandButton2"/>
      </mc:Fallback>
    </mc:AlternateContent>
    <mc:AlternateContent xmlns:mc="http://schemas.openxmlformats.org/markup-compatibility/2006">
      <mc:Choice Requires="x14">
        <control shapeId="6197" r:id="rId14" name="CommandButton3">
          <controlPr defaultSize="0" autoLine="0" r:id="rId15">
            <anchor moveWithCells="1">
              <from>
                <xdr:col>6</xdr:col>
                <xdr:colOff>327660</xdr:colOff>
                <xdr:row>27</xdr:row>
                <xdr:rowOff>22860</xdr:rowOff>
              </from>
              <to>
                <xdr:col>7</xdr:col>
                <xdr:colOff>594360</xdr:colOff>
                <xdr:row>28</xdr:row>
                <xdr:rowOff>22860</xdr:rowOff>
              </to>
            </anchor>
          </controlPr>
        </control>
      </mc:Choice>
      <mc:Fallback>
        <control shapeId="6197" r:id="rId14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5C26709-996C-4250-9F9B-9EA442601067}">
          <x14:formula1>
            <xm:f>'List for Data Validation'!#REF!</xm:f>
          </x14:formula1>
          <xm:sqref>D10</xm:sqref>
        </x14:dataValidation>
        <x14:dataValidation type="list" allowBlank="1" showInputMessage="1" showErrorMessage="1" xr:uid="{DFCC2C35-4524-4572-AE70-59A6AAF0172F}">
          <x14:formula1>
            <xm:f>'List for Data Validation'!$F$3:$F$6</xm:f>
          </x14:formula1>
          <xm:sqref>F12</xm:sqref>
        </x14:dataValidation>
        <x14:dataValidation type="list" allowBlank="1" showInputMessage="1" showErrorMessage="1" xr:uid="{79C2E5D9-C8E5-40E4-9244-3313B0B9E4D8}">
          <x14:formula1>
            <xm:f>'List for Data Validation'!$D$3:$D$4</xm:f>
          </x14:formula1>
          <xm:sqref>F10</xm:sqref>
        </x14:dataValidation>
        <x14:dataValidation type="list" allowBlank="1" showInputMessage="1" showErrorMessage="1" xr:uid="{1F320AF8-DA54-42C3-83D0-688F1D66AAB1}">
          <x14:formula1>
            <xm:f>'List for Data Validation'!$J$3:$J$16</xm:f>
          </x14:formula1>
          <xm:sqref>F14</xm:sqref>
        </x14:dataValidation>
        <x14:dataValidation type="list" allowBlank="1" showInputMessage="1" showErrorMessage="1" xr:uid="{BBD95612-B74D-4A8B-AE39-8A35BFEA7ECE}">
          <x14:formula1>
            <xm:f>'List for Data Validation'!$H$3:$H$4</xm:f>
          </x14:formula1>
          <xm:sqref>C14</xm:sqref>
        </x14:dataValidation>
        <x14:dataValidation type="list" allowBlank="1" showInputMessage="1" showErrorMessage="1" xr:uid="{CB48A061-DDBF-4E7B-8FAD-54089967A04C}">
          <x14:formula1>
            <xm:f>'List for Data Validation'!$B$19:$B$21</xm:f>
          </x14:formula1>
          <xm:sqref>F19</xm:sqref>
        </x14:dataValidation>
        <x14:dataValidation type="list" allowBlank="1" showInputMessage="1" showErrorMessage="1" xr:uid="{CA63D765-0823-4CCB-9E7B-267698196141}">
          <x14:formula1>
            <xm:f>'List for Data Validation'!$F$19:$F$23</xm:f>
          </x14:formula1>
          <xm:sqref>F21</xm:sqref>
        </x14:dataValidation>
        <x14:dataValidation type="list" allowBlank="1" showInputMessage="1" showErrorMessage="1" xr:uid="{65097607-A7ED-4935-964F-139C12013785}">
          <x14:formula1>
            <xm:f>'List for Data Validation'!$J$19:$J$23</xm:f>
          </x14:formula1>
          <xm:sqref>F23</xm:sqref>
        </x14:dataValidation>
        <x14:dataValidation type="list" allowBlank="1" showInputMessage="1" showErrorMessage="1" xr:uid="{9DD9D771-FE11-482B-B6C1-82FB498E7467}">
          <x14:formula1>
            <xm:f>'List for Data Validation'!$D$19:$D$23</xm:f>
          </x14:formula1>
          <xm:sqref>C21</xm:sqref>
        </x14:dataValidation>
        <x14:dataValidation type="list" allowBlank="1" showInputMessage="1" showErrorMessage="1" xr:uid="{9CE36D46-8255-4AB4-A793-BE01606F0F2A}">
          <x14:formula1>
            <xm:f>'List for Data Validation'!$H$19:$H$23</xm:f>
          </x14:formula1>
          <xm:sqref>C23</xm:sqref>
        </x14:dataValidation>
        <x14:dataValidation type="list" allowBlank="1" showInputMessage="1" showErrorMessage="1" xr:uid="{B13D8918-589B-42DD-A238-F177E8121C0F}">
          <x14:formula1>
            <xm:f>'List for Data Validation'!$B$3:$B$7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528C5-A3C8-419B-8BE2-79D56E29A513}">
  <sheetPr codeName="Sheet3"/>
  <dimension ref="A3:AH100"/>
  <sheetViews>
    <sheetView showGridLines="0" zoomScale="60" zoomScaleNormal="60" workbookViewId="0">
      <selection activeCell="N23" sqref="N23"/>
    </sheetView>
  </sheetViews>
  <sheetFormatPr defaultColWidth="8.6640625" defaultRowHeight="15.6" x14ac:dyDescent="0.3"/>
  <cols>
    <col min="1" max="1" width="8.6640625" style="3"/>
    <col min="2" max="2" width="27.88671875" style="2" customWidth="1"/>
    <col min="3" max="3" width="16.109375" style="3" customWidth="1"/>
    <col min="4" max="4" width="21.109375" style="3" bestFit="1" customWidth="1"/>
    <col min="5" max="5" width="10.6640625" style="3" customWidth="1"/>
    <col min="6" max="6" width="16.6640625" style="3" customWidth="1"/>
    <col min="7" max="7" width="15.21875" style="3" customWidth="1"/>
    <col min="8" max="8" width="20" style="3" customWidth="1"/>
    <col min="9" max="10" width="16.88671875" style="3" customWidth="1"/>
    <col min="11" max="11" width="20.33203125" style="3" customWidth="1"/>
    <col min="12" max="12" width="13" style="3" customWidth="1"/>
    <col min="13" max="13" width="14.5546875" style="3" customWidth="1"/>
    <col min="14" max="14" width="19.33203125" style="3" customWidth="1"/>
    <col min="15" max="15" width="22.109375" style="3" customWidth="1"/>
    <col min="16" max="16" width="27" style="3" customWidth="1"/>
    <col min="17" max="17" width="13.6640625" style="3" customWidth="1"/>
    <col min="18" max="18" width="20.44140625" style="3" customWidth="1"/>
    <col min="19" max="19" width="29.44140625" style="3" customWidth="1"/>
    <col min="20" max="20" width="8.5546875" style="2" customWidth="1"/>
    <col min="21" max="16384" width="8.6640625" style="2"/>
  </cols>
  <sheetData>
    <row r="3" spans="1:34" x14ac:dyDescent="0.3">
      <c r="T3" s="3"/>
    </row>
    <row r="4" spans="1:34" ht="31.2" customHeight="1" x14ac:dyDescent="0.35">
      <c r="N4" s="98" t="s">
        <v>120</v>
      </c>
      <c r="O4" s="99"/>
      <c r="P4" s="99"/>
      <c r="Q4" s="100"/>
      <c r="T4" s="3"/>
    </row>
    <row r="5" spans="1:34" ht="42.6" customHeight="1" x14ac:dyDescent="0.3">
      <c r="A5" s="46" t="s">
        <v>0</v>
      </c>
      <c r="B5" s="46" t="s">
        <v>1</v>
      </c>
      <c r="C5" s="46" t="s">
        <v>51</v>
      </c>
      <c r="D5" s="46" t="s">
        <v>2</v>
      </c>
      <c r="E5" s="46" t="s">
        <v>31</v>
      </c>
      <c r="F5" s="46" t="s">
        <v>7</v>
      </c>
      <c r="G5" s="46" t="s">
        <v>3</v>
      </c>
      <c r="H5" s="46" t="s">
        <v>4</v>
      </c>
      <c r="I5" s="46" t="s">
        <v>8</v>
      </c>
      <c r="J5" s="46" t="s">
        <v>6</v>
      </c>
      <c r="K5" s="46" t="s">
        <v>5</v>
      </c>
      <c r="L5" s="46" t="s">
        <v>113</v>
      </c>
      <c r="M5" s="46" t="s">
        <v>50</v>
      </c>
      <c r="N5" s="46" t="s">
        <v>34</v>
      </c>
      <c r="O5" s="46" t="s">
        <v>52</v>
      </c>
      <c r="P5" s="46" t="s">
        <v>48</v>
      </c>
      <c r="Q5" s="46" t="s">
        <v>53</v>
      </c>
      <c r="R5" s="46" t="s">
        <v>56</v>
      </c>
      <c r="S5" s="46" t="s">
        <v>17</v>
      </c>
    </row>
    <row r="6" spans="1:34" ht="28.8" customHeight="1" x14ac:dyDescent="0.3">
      <c r="A6" s="59">
        <v>1</v>
      </c>
      <c r="B6" s="60" t="s">
        <v>126</v>
      </c>
      <c r="C6" s="10">
        <v>277170</v>
      </c>
      <c r="D6" s="61">
        <v>221070310</v>
      </c>
      <c r="E6" s="10">
        <v>22</v>
      </c>
      <c r="F6" s="61" t="s">
        <v>81</v>
      </c>
      <c r="G6" s="10" t="s">
        <v>18</v>
      </c>
      <c r="H6" s="62">
        <v>162216057</v>
      </c>
      <c r="I6" s="62" t="s">
        <v>74</v>
      </c>
      <c r="J6" s="62" t="s">
        <v>85</v>
      </c>
      <c r="K6" s="10" t="s">
        <v>88</v>
      </c>
      <c r="L6" s="10">
        <v>170</v>
      </c>
      <c r="M6" s="10" t="s">
        <v>40</v>
      </c>
      <c r="N6" s="10">
        <v>5</v>
      </c>
      <c r="O6" s="10">
        <v>5</v>
      </c>
      <c r="P6" s="10">
        <v>5</v>
      </c>
      <c r="Q6" s="10">
        <v>5</v>
      </c>
      <c r="R6" s="10">
        <v>60</v>
      </c>
      <c r="S6" s="87">
        <v>45079.7503125</v>
      </c>
      <c r="T6" s="1"/>
    </row>
    <row r="7" spans="1:34" ht="28.8" customHeight="1" x14ac:dyDescent="0.3">
      <c r="A7" s="59">
        <v>2</v>
      </c>
      <c r="B7" s="60" t="s">
        <v>127</v>
      </c>
      <c r="C7" s="10">
        <v>277851</v>
      </c>
      <c r="D7" s="61">
        <v>509071122</v>
      </c>
      <c r="E7" s="10">
        <v>22</v>
      </c>
      <c r="F7" s="61" t="s">
        <v>81</v>
      </c>
      <c r="G7" s="10" t="s">
        <v>18</v>
      </c>
      <c r="H7" s="62">
        <v>1155836900</v>
      </c>
      <c r="I7" s="62" t="s">
        <v>74</v>
      </c>
      <c r="J7" s="62" t="s">
        <v>85</v>
      </c>
      <c r="K7" s="10" t="s">
        <v>88</v>
      </c>
      <c r="L7" s="10">
        <v>160</v>
      </c>
      <c r="M7" s="10" t="s">
        <v>41</v>
      </c>
      <c r="N7" s="10">
        <v>5</v>
      </c>
      <c r="O7" s="10">
        <v>5</v>
      </c>
      <c r="P7" s="10">
        <v>5</v>
      </c>
      <c r="Q7" s="10">
        <v>5</v>
      </c>
      <c r="R7" s="10">
        <v>55</v>
      </c>
      <c r="S7" s="87">
        <v>45079.751261574071</v>
      </c>
      <c r="T7" s="1"/>
    </row>
    <row r="8" spans="1:34" ht="28.8" customHeight="1" x14ac:dyDescent="0.3">
      <c r="A8" s="59">
        <v>3</v>
      </c>
      <c r="B8" s="60" t="s">
        <v>129</v>
      </c>
      <c r="C8" s="10">
        <v>286000</v>
      </c>
      <c r="D8" s="61">
        <v>10101076566</v>
      </c>
      <c r="E8" s="10">
        <v>21</v>
      </c>
      <c r="F8" s="61" t="s">
        <v>81</v>
      </c>
      <c r="G8" s="10" t="s">
        <v>18</v>
      </c>
      <c r="H8" s="62">
        <v>126030716</v>
      </c>
      <c r="I8" s="62" t="s">
        <v>74</v>
      </c>
      <c r="J8" s="62" t="s">
        <v>85</v>
      </c>
      <c r="K8" s="10" t="s">
        <v>92</v>
      </c>
      <c r="L8" s="10">
        <v>157</v>
      </c>
      <c r="M8" s="10" t="s">
        <v>41</v>
      </c>
      <c r="N8" s="10">
        <v>5</v>
      </c>
      <c r="O8" s="10">
        <v>5</v>
      </c>
      <c r="P8" s="10">
        <v>5</v>
      </c>
      <c r="Q8" s="10">
        <v>5</v>
      </c>
      <c r="R8" s="10">
        <v>52</v>
      </c>
      <c r="S8" s="87">
        <v>45079.752303240741</v>
      </c>
      <c r="T8" s="1"/>
    </row>
    <row r="9" spans="1:34" ht="28.8" customHeight="1" x14ac:dyDescent="0.3">
      <c r="A9" s="59">
        <v>4</v>
      </c>
      <c r="B9" s="60" t="s">
        <v>130</v>
      </c>
      <c r="C9" s="10">
        <v>283165</v>
      </c>
      <c r="D9" s="61">
        <v>826075832</v>
      </c>
      <c r="E9" s="10">
        <v>22</v>
      </c>
      <c r="F9" s="61" t="s">
        <v>81</v>
      </c>
      <c r="G9" s="10" t="s">
        <v>18</v>
      </c>
      <c r="H9" s="62">
        <v>123466789</v>
      </c>
      <c r="I9" s="62" t="s">
        <v>74</v>
      </c>
      <c r="J9" s="62" t="s">
        <v>85</v>
      </c>
      <c r="K9" s="10" t="s">
        <v>89</v>
      </c>
      <c r="L9" s="10">
        <v>168</v>
      </c>
      <c r="M9" s="10" t="s">
        <v>40</v>
      </c>
      <c r="N9" s="10">
        <v>5</v>
      </c>
      <c r="O9" s="10">
        <v>5</v>
      </c>
      <c r="P9" s="10">
        <v>5</v>
      </c>
      <c r="Q9" s="10">
        <v>5</v>
      </c>
      <c r="R9" s="10">
        <v>68</v>
      </c>
      <c r="S9" s="87">
        <v>45079.75335648148</v>
      </c>
      <c r="T9" s="1"/>
    </row>
    <row r="10" spans="1:34" ht="28.8" customHeight="1" x14ac:dyDescent="0.3">
      <c r="A10" s="59">
        <v>5</v>
      </c>
      <c r="B10" s="60" t="s">
        <v>131</v>
      </c>
      <c r="C10" s="10">
        <v>281732</v>
      </c>
      <c r="D10" s="61">
        <v>726070514</v>
      </c>
      <c r="E10" s="10">
        <v>22</v>
      </c>
      <c r="F10" s="61" t="s">
        <v>81</v>
      </c>
      <c r="G10" s="10" t="s">
        <v>18</v>
      </c>
      <c r="H10" s="62">
        <v>187566544</v>
      </c>
      <c r="I10" s="62" t="s">
        <v>74</v>
      </c>
      <c r="J10" s="62" t="s">
        <v>85</v>
      </c>
      <c r="K10" s="10" t="s">
        <v>98</v>
      </c>
      <c r="L10" s="10">
        <v>165</v>
      </c>
      <c r="M10" s="10" t="s">
        <v>40</v>
      </c>
      <c r="N10" s="10">
        <v>5</v>
      </c>
      <c r="O10" s="10">
        <v>5</v>
      </c>
      <c r="P10" s="10">
        <v>5</v>
      </c>
      <c r="Q10" s="10">
        <v>5</v>
      </c>
      <c r="R10" s="10">
        <v>80</v>
      </c>
      <c r="S10" s="87">
        <v>45079.754490740743</v>
      </c>
      <c r="T10" s="1"/>
    </row>
    <row r="11" spans="1:34" ht="28.8" customHeight="1" x14ac:dyDescent="0.35">
      <c r="A11" s="59">
        <v>6</v>
      </c>
      <c r="B11" s="60" t="s">
        <v>128</v>
      </c>
      <c r="C11" s="10">
        <v>279017</v>
      </c>
      <c r="D11" s="61">
        <v>613148855</v>
      </c>
      <c r="E11" s="10">
        <v>22</v>
      </c>
      <c r="F11" s="61" t="s">
        <v>81</v>
      </c>
      <c r="G11" s="10" t="s">
        <v>78</v>
      </c>
      <c r="H11" s="62" t="s">
        <v>132</v>
      </c>
      <c r="I11" s="62" t="s">
        <v>74</v>
      </c>
      <c r="J11" s="62" t="s">
        <v>85</v>
      </c>
      <c r="K11" s="10" t="s">
        <v>93</v>
      </c>
      <c r="L11" s="10">
        <v>177</v>
      </c>
      <c r="M11" s="10" t="s">
        <v>40</v>
      </c>
      <c r="N11" s="10">
        <v>4</v>
      </c>
      <c r="O11" s="10">
        <v>4</v>
      </c>
      <c r="P11" s="10">
        <v>4</v>
      </c>
      <c r="Q11" s="10">
        <v>5</v>
      </c>
      <c r="R11" s="10">
        <v>45</v>
      </c>
      <c r="S11" s="87">
        <v>45079.757638888892</v>
      </c>
      <c r="T11" s="1"/>
      <c r="U11" s="49" t="s">
        <v>24</v>
      </c>
      <c r="V11" s="50"/>
      <c r="W11" s="50"/>
      <c r="X11" s="50"/>
      <c r="Y11" s="50"/>
      <c r="Z11" s="50"/>
    </row>
    <row r="12" spans="1:34" ht="28.8" customHeight="1" x14ac:dyDescent="0.35">
      <c r="A12" s="59">
        <v>7</v>
      </c>
      <c r="B12" s="60" t="s">
        <v>133</v>
      </c>
      <c r="C12" s="10">
        <v>276433</v>
      </c>
      <c r="D12" s="61">
        <v>517074356</v>
      </c>
      <c r="E12" s="10">
        <v>22</v>
      </c>
      <c r="F12" s="61" t="s">
        <v>81</v>
      </c>
      <c r="G12" s="10" t="s">
        <v>18</v>
      </c>
      <c r="H12" s="62">
        <v>198788653</v>
      </c>
      <c r="I12" s="62" t="s">
        <v>74</v>
      </c>
      <c r="J12" s="62" t="s">
        <v>85</v>
      </c>
      <c r="K12" s="10" t="s">
        <v>96</v>
      </c>
      <c r="L12" s="10">
        <v>163</v>
      </c>
      <c r="M12" s="10" t="s">
        <v>40</v>
      </c>
      <c r="N12" s="10">
        <v>4</v>
      </c>
      <c r="O12" s="10">
        <v>3</v>
      </c>
      <c r="P12" s="10">
        <v>3</v>
      </c>
      <c r="Q12" s="10">
        <v>2</v>
      </c>
      <c r="R12" s="10">
        <v>30</v>
      </c>
      <c r="S12" s="87">
        <v>45079.771701388891</v>
      </c>
      <c r="T12" s="1"/>
      <c r="U12" s="51" t="s">
        <v>72</v>
      </c>
      <c r="V12" s="50"/>
      <c r="W12" s="50"/>
      <c r="X12" s="50"/>
      <c r="Y12" s="50"/>
      <c r="Z12" s="50"/>
    </row>
    <row r="13" spans="1:34" ht="28.8" customHeight="1" x14ac:dyDescent="0.35">
      <c r="A13" s="59">
        <v>8</v>
      </c>
      <c r="B13" s="60" t="s">
        <v>139</v>
      </c>
      <c r="C13" s="10">
        <v>233754</v>
      </c>
      <c r="D13" s="61">
        <v>314075413</v>
      </c>
      <c r="E13" s="10">
        <v>23</v>
      </c>
      <c r="F13" s="61" t="s">
        <v>81</v>
      </c>
      <c r="G13" s="10" t="s">
        <v>78</v>
      </c>
      <c r="H13" s="62">
        <v>175784045</v>
      </c>
      <c r="I13" s="62" t="s">
        <v>74</v>
      </c>
      <c r="J13" s="62" t="s">
        <v>85</v>
      </c>
      <c r="K13" s="10" t="s">
        <v>88</v>
      </c>
      <c r="L13" s="10">
        <v>174</v>
      </c>
      <c r="M13" s="10" t="s">
        <v>41</v>
      </c>
      <c r="N13" s="10">
        <v>5</v>
      </c>
      <c r="O13" s="10">
        <v>4</v>
      </c>
      <c r="P13" s="10">
        <v>4</v>
      </c>
      <c r="Q13" s="10">
        <v>5</v>
      </c>
      <c r="R13" s="10">
        <v>20</v>
      </c>
      <c r="S13" s="87">
        <v>45027.284895833334</v>
      </c>
      <c r="T13" s="1"/>
      <c r="U13" s="51"/>
      <c r="V13" s="50"/>
      <c r="W13" s="50"/>
      <c r="X13" s="50"/>
      <c r="Y13" s="50"/>
      <c r="Z13" s="50"/>
    </row>
    <row r="14" spans="1:34" ht="28.8" customHeight="1" x14ac:dyDescent="0.35">
      <c r="A14" s="59"/>
      <c r="B14" s="60"/>
      <c r="C14" s="10"/>
      <c r="D14" s="61"/>
      <c r="E14" s="10"/>
      <c r="F14" s="61"/>
      <c r="G14" s="10"/>
      <c r="H14" s="62"/>
      <c r="I14" s="62"/>
      <c r="J14" s="62"/>
      <c r="K14" s="10"/>
      <c r="L14" s="10"/>
      <c r="M14" s="10"/>
      <c r="N14" s="10"/>
      <c r="O14" s="10"/>
      <c r="P14" s="10"/>
      <c r="Q14" s="10"/>
      <c r="R14" s="10"/>
      <c r="S14" s="10"/>
      <c r="T14" s="1"/>
      <c r="U14" s="51" t="s">
        <v>101</v>
      </c>
      <c r="V14" s="50"/>
      <c r="W14" s="50"/>
      <c r="X14" s="50"/>
      <c r="Y14" s="50"/>
      <c r="Z14" s="50"/>
    </row>
    <row r="15" spans="1:34" ht="28.8" customHeight="1" x14ac:dyDescent="0.35">
      <c r="A15" s="59"/>
      <c r="B15" s="60"/>
      <c r="C15" s="10"/>
      <c r="D15" s="61"/>
      <c r="E15" s="10"/>
      <c r="F15" s="61"/>
      <c r="G15" s="10"/>
      <c r="H15" s="62"/>
      <c r="I15" s="62"/>
      <c r="J15" s="62"/>
      <c r="K15" s="10"/>
      <c r="L15" s="10"/>
      <c r="M15" s="10"/>
      <c r="N15" s="10"/>
      <c r="O15" s="10"/>
      <c r="P15" s="10"/>
      <c r="Q15" s="10"/>
      <c r="R15" s="10"/>
      <c r="S15" s="10"/>
      <c r="T15" s="1"/>
      <c r="U15" s="51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</row>
    <row r="16" spans="1:34" ht="28.8" customHeight="1" x14ac:dyDescent="0.35">
      <c r="A16" s="59"/>
      <c r="B16" s="60"/>
      <c r="C16" s="10"/>
      <c r="D16" s="61"/>
      <c r="E16" s="10"/>
      <c r="F16" s="61"/>
      <c r="G16" s="10"/>
      <c r="H16" s="62"/>
      <c r="I16" s="62"/>
      <c r="J16" s="62"/>
      <c r="K16" s="10"/>
      <c r="L16" s="10"/>
      <c r="M16" s="10"/>
      <c r="N16" s="10"/>
      <c r="O16" s="10"/>
      <c r="P16" s="10"/>
      <c r="Q16" s="10"/>
      <c r="R16" s="10"/>
      <c r="S16" s="10"/>
      <c r="T16" s="1"/>
      <c r="U16" s="51" t="s">
        <v>102</v>
      </c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</row>
    <row r="17" spans="1:34" ht="28.8" customHeight="1" x14ac:dyDescent="0.35">
      <c r="A17" s="59"/>
      <c r="B17" s="60"/>
      <c r="C17" s="10"/>
      <c r="D17" s="61"/>
      <c r="E17" s="10"/>
      <c r="F17" s="61"/>
      <c r="G17" s="10"/>
      <c r="H17" s="62"/>
      <c r="I17" s="62"/>
      <c r="J17" s="62"/>
      <c r="K17" s="10"/>
      <c r="L17" s="10"/>
      <c r="M17" s="10"/>
      <c r="N17" s="10"/>
      <c r="O17" s="10"/>
      <c r="P17" s="10"/>
      <c r="Q17" s="10"/>
      <c r="R17" s="10"/>
      <c r="S17" s="10"/>
      <c r="T17" s="1"/>
      <c r="U17" s="51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</row>
    <row r="18" spans="1:34" ht="28.8" customHeight="1" x14ac:dyDescent="0.35">
      <c r="A18" s="59"/>
      <c r="B18" s="60"/>
      <c r="C18" s="10"/>
      <c r="D18" s="61"/>
      <c r="E18" s="10"/>
      <c r="F18" s="61"/>
      <c r="G18" s="10"/>
      <c r="H18" s="62"/>
      <c r="I18" s="62"/>
      <c r="J18" s="62"/>
      <c r="K18" s="10"/>
      <c r="L18" s="10"/>
      <c r="M18" s="10"/>
      <c r="N18" s="10"/>
      <c r="O18" s="10"/>
      <c r="P18" s="10"/>
      <c r="Q18" s="10"/>
      <c r="R18" s="10"/>
      <c r="S18" s="10"/>
      <c r="T18" s="1"/>
      <c r="U18" s="51" t="s">
        <v>57</v>
      </c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</row>
    <row r="19" spans="1:34" ht="28.8" customHeight="1" x14ac:dyDescent="0.35">
      <c r="A19" s="59"/>
      <c r="B19" s="60"/>
      <c r="C19" s="10"/>
      <c r="D19" s="61"/>
      <c r="E19" s="10"/>
      <c r="F19" s="61"/>
      <c r="G19" s="10"/>
      <c r="H19" s="62"/>
      <c r="I19" s="62"/>
      <c r="J19" s="62"/>
      <c r="K19" s="10"/>
      <c r="L19" s="10"/>
      <c r="M19" s="10"/>
      <c r="N19" s="10"/>
      <c r="O19" s="10"/>
      <c r="P19" s="10"/>
      <c r="Q19" s="10"/>
      <c r="R19" s="10"/>
      <c r="S19" s="10"/>
      <c r="T19" s="1"/>
      <c r="AA19" s="50"/>
      <c r="AB19" s="50"/>
      <c r="AC19" s="50"/>
      <c r="AD19" s="50"/>
      <c r="AE19" s="50"/>
      <c r="AF19" s="50"/>
      <c r="AG19" s="50"/>
      <c r="AH19" s="50"/>
    </row>
    <row r="20" spans="1:34" ht="28.8" customHeight="1" x14ac:dyDescent="0.35">
      <c r="A20" s="59"/>
      <c r="B20" s="60"/>
      <c r="C20" s="10"/>
      <c r="D20" s="61"/>
      <c r="E20" s="10"/>
      <c r="F20" s="61"/>
      <c r="G20" s="10"/>
      <c r="H20" s="62"/>
      <c r="I20" s="62"/>
      <c r="J20" s="62"/>
      <c r="K20" s="10"/>
      <c r="L20" s="10"/>
      <c r="M20" s="10"/>
      <c r="N20" s="10"/>
      <c r="O20" s="10"/>
      <c r="P20" s="10"/>
      <c r="Q20" s="10"/>
      <c r="R20" s="10"/>
      <c r="S20" s="10"/>
      <c r="T20" s="1"/>
      <c r="AA20" s="50"/>
      <c r="AB20" s="50"/>
      <c r="AC20" s="50"/>
      <c r="AD20" s="50"/>
      <c r="AE20" s="50"/>
      <c r="AF20" s="50"/>
      <c r="AG20" s="50"/>
      <c r="AH20" s="50"/>
    </row>
    <row r="21" spans="1:34" ht="28.8" customHeight="1" x14ac:dyDescent="0.35">
      <c r="A21" s="59"/>
      <c r="B21" s="60"/>
      <c r="C21" s="10"/>
      <c r="D21" s="61"/>
      <c r="E21" s="10"/>
      <c r="F21" s="61"/>
      <c r="G21" s="10"/>
      <c r="H21" s="62"/>
      <c r="I21" s="62"/>
      <c r="J21" s="62"/>
      <c r="K21" s="10"/>
      <c r="L21" s="10"/>
      <c r="M21" s="10"/>
      <c r="N21" s="10"/>
      <c r="O21" s="10"/>
      <c r="P21" s="10"/>
      <c r="Q21" s="10"/>
      <c r="R21" s="10"/>
      <c r="S21" s="10"/>
      <c r="T21" s="1"/>
      <c r="AA21" s="50"/>
      <c r="AB21" s="50"/>
      <c r="AC21" s="50"/>
      <c r="AD21" s="50"/>
      <c r="AE21" s="50"/>
      <c r="AF21" s="50"/>
      <c r="AG21" s="50"/>
      <c r="AH21" s="50"/>
    </row>
    <row r="22" spans="1:34" ht="28.8" customHeight="1" x14ac:dyDescent="0.35">
      <c r="A22" s="59"/>
      <c r="B22" s="60"/>
      <c r="C22" s="10"/>
      <c r="D22" s="61"/>
      <c r="E22" s="10"/>
      <c r="F22" s="61"/>
      <c r="G22" s="10"/>
      <c r="H22" s="62"/>
      <c r="I22" s="62"/>
      <c r="J22" s="62"/>
      <c r="K22" s="10"/>
      <c r="L22" s="10"/>
      <c r="M22" s="10"/>
      <c r="N22" s="10"/>
      <c r="O22" s="10"/>
      <c r="P22" s="10"/>
      <c r="Q22" s="10"/>
      <c r="R22" s="10"/>
      <c r="S22" s="10"/>
      <c r="T22" s="1"/>
      <c r="AA22" s="50"/>
      <c r="AB22" s="50"/>
      <c r="AC22" s="50"/>
      <c r="AD22" s="50"/>
      <c r="AE22" s="50"/>
      <c r="AF22" s="50"/>
      <c r="AG22" s="50"/>
      <c r="AH22" s="50"/>
    </row>
    <row r="23" spans="1:34" ht="28.8" customHeight="1" x14ac:dyDescent="0.35">
      <c r="A23" s="59"/>
      <c r="B23" s="60"/>
      <c r="C23" s="10"/>
      <c r="D23" s="61"/>
      <c r="E23" s="10"/>
      <c r="F23" s="61"/>
      <c r="G23" s="10"/>
      <c r="H23" s="62"/>
      <c r="I23" s="62"/>
      <c r="J23" s="62"/>
      <c r="K23" s="10"/>
      <c r="L23" s="10"/>
      <c r="M23" s="10"/>
      <c r="N23" s="10"/>
      <c r="O23" s="10"/>
      <c r="P23" s="10"/>
      <c r="Q23" s="10"/>
      <c r="R23" s="10"/>
      <c r="S23" s="10"/>
      <c r="T23" s="1"/>
      <c r="U23" s="51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</row>
    <row r="24" spans="1:34" ht="28.8" customHeight="1" x14ac:dyDescent="0.35">
      <c r="A24" s="59"/>
      <c r="B24" s="60"/>
      <c r="C24" s="10"/>
      <c r="D24" s="61"/>
      <c r="E24" s="10"/>
      <c r="F24" s="61"/>
      <c r="G24" s="10"/>
      <c r="H24" s="62"/>
      <c r="I24" s="62"/>
      <c r="J24" s="62"/>
      <c r="K24" s="10"/>
      <c r="L24" s="10"/>
      <c r="M24" s="10"/>
      <c r="N24" s="10"/>
      <c r="O24" s="10"/>
      <c r="P24" s="10"/>
      <c r="Q24" s="10"/>
      <c r="R24" s="10"/>
      <c r="S24" s="10"/>
      <c r="T24" s="1"/>
      <c r="U24" s="51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</row>
    <row r="25" spans="1:34" ht="28.8" customHeight="1" x14ac:dyDescent="0.3">
      <c r="A25" s="59"/>
      <c r="B25" s="60"/>
      <c r="C25" s="10"/>
      <c r="D25" s="61"/>
      <c r="E25" s="10"/>
      <c r="F25" s="61"/>
      <c r="G25" s="10"/>
      <c r="H25" s="62"/>
      <c r="I25" s="62"/>
      <c r="J25" s="62"/>
      <c r="K25" s="10"/>
      <c r="L25" s="10"/>
      <c r="M25" s="10"/>
      <c r="N25" s="10"/>
      <c r="O25" s="10"/>
      <c r="P25" s="10"/>
      <c r="Q25" s="10"/>
      <c r="R25" s="10"/>
      <c r="S25" s="10"/>
      <c r="T25" s="1"/>
    </row>
    <row r="26" spans="1:34" ht="28.8" customHeight="1" x14ac:dyDescent="0.3">
      <c r="A26" s="59"/>
      <c r="B26" s="60"/>
      <c r="C26" s="10"/>
      <c r="D26" s="61"/>
      <c r="E26" s="10"/>
      <c r="F26" s="61"/>
      <c r="G26" s="10"/>
      <c r="H26" s="62"/>
      <c r="I26" s="62"/>
      <c r="J26" s="62"/>
      <c r="K26" s="10"/>
      <c r="L26" s="10"/>
      <c r="M26" s="10"/>
      <c r="N26" s="10"/>
      <c r="O26" s="10"/>
      <c r="P26" s="10"/>
      <c r="Q26" s="10"/>
      <c r="R26" s="10"/>
      <c r="S26" s="10"/>
      <c r="T26" s="1"/>
    </row>
    <row r="27" spans="1:34" ht="28.8" customHeight="1" x14ac:dyDescent="0.3">
      <c r="A27" s="59"/>
      <c r="B27" s="60"/>
      <c r="C27" s="10"/>
      <c r="D27" s="61"/>
      <c r="E27" s="10"/>
      <c r="F27" s="61"/>
      <c r="G27" s="10"/>
      <c r="H27" s="62"/>
      <c r="I27" s="62"/>
      <c r="J27" s="62"/>
      <c r="K27" s="10"/>
      <c r="L27" s="10"/>
      <c r="M27" s="10"/>
      <c r="N27" s="10"/>
      <c r="O27" s="10"/>
      <c r="P27" s="10"/>
      <c r="Q27" s="10"/>
      <c r="R27" s="10"/>
      <c r="S27" s="10"/>
      <c r="T27" s="1"/>
    </row>
    <row r="28" spans="1:34" ht="28.8" customHeight="1" x14ac:dyDescent="0.3">
      <c r="A28" s="59"/>
      <c r="B28" s="60"/>
      <c r="C28" s="10"/>
      <c r="D28" s="61"/>
      <c r="E28" s="10"/>
      <c r="F28" s="61"/>
      <c r="G28" s="10"/>
      <c r="H28" s="62"/>
      <c r="I28" s="62"/>
      <c r="J28" s="62"/>
      <c r="K28" s="10"/>
      <c r="L28" s="10"/>
      <c r="M28" s="10"/>
      <c r="N28" s="10"/>
      <c r="O28" s="10"/>
      <c r="P28" s="10"/>
      <c r="Q28" s="10"/>
      <c r="R28" s="10"/>
      <c r="S28" s="10"/>
      <c r="T28" s="1"/>
    </row>
    <row r="29" spans="1:34" ht="28.8" customHeight="1" x14ac:dyDescent="0.3">
      <c r="A29" s="59"/>
      <c r="B29" s="60"/>
      <c r="C29" s="10"/>
      <c r="D29" s="61"/>
      <c r="E29" s="10"/>
      <c r="F29" s="61"/>
      <c r="G29" s="10"/>
      <c r="H29" s="62"/>
      <c r="I29" s="62"/>
      <c r="J29" s="62"/>
      <c r="K29" s="10"/>
      <c r="L29" s="10"/>
      <c r="M29" s="10"/>
      <c r="N29" s="10"/>
      <c r="O29" s="10"/>
      <c r="P29" s="10"/>
      <c r="Q29" s="10"/>
      <c r="R29" s="10"/>
      <c r="S29" s="10"/>
      <c r="T29" s="1"/>
      <c r="U29" s="7"/>
    </row>
    <row r="30" spans="1:34" ht="28.8" customHeight="1" x14ac:dyDescent="0.3">
      <c r="A30" s="59"/>
      <c r="B30" s="60"/>
      <c r="C30" s="10"/>
      <c r="D30" s="61"/>
      <c r="E30" s="10"/>
      <c r="F30" s="61"/>
      <c r="G30" s="10"/>
      <c r="H30" s="62"/>
      <c r="I30" s="62"/>
      <c r="J30" s="62"/>
      <c r="K30" s="10"/>
      <c r="L30" s="10"/>
      <c r="M30" s="10"/>
      <c r="N30" s="10"/>
      <c r="O30" s="10"/>
      <c r="P30" s="10"/>
      <c r="Q30" s="10"/>
      <c r="R30" s="10"/>
      <c r="S30" s="10"/>
      <c r="T30" s="1"/>
      <c r="U30" s="7"/>
    </row>
    <row r="31" spans="1:34" ht="28.8" customHeight="1" x14ac:dyDescent="0.3">
      <c r="A31" s="59"/>
      <c r="B31" s="60"/>
      <c r="C31" s="10"/>
      <c r="D31" s="61"/>
      <c r="E31" s="10"/>
      <c r="F31" s="61"/>
      <c r="G31" s="10"/>
      <c r="H31" s="62"/>
      <c r="I31" s="62"/>
      <c r="J31" s="62"/>
      <c r="K31" s="10"/>
      <c r="L31" s="10"/>
      <c r="M31" s="10"/>
      <c r="N31" s="10"/>
      <c r="O31" s="10"/>
      <c r="P31" s="10"/>
      <c r="Q31" s="10"/>
      <c r="R31" s="10"/>
      <c r="S31" s="10"/>
      <c r="T31" s="1"/>
      <c r="U31" s="7"/>
    </row>
    <row r="32" spans="1:34" ht="28.8" customHeight="1" x14ac:dyDescent="0.3">
      <c r="A32" s="59"/>
      <c r="B32" s="60"/>
      <c r="C32" s="10"/>
      <c r="D32" s="61"/>
      <c r="E32" s="10"/>
      <c r="F32" s="61"/>
      <c r="G32" s="10"/>
      <c r="H32" s="62"/>
      <c r="I32" s="62"/>
      <c r="J32" s="62"/>
      <c r="K32" s="10"/>
      <c r="L32" s="10"/>
      <c r="M32" s="10"/>
      <c r="N32" s="10"/>
      <c r="O32" s="10"/>
      <c r="P32" s="10"/>
      <c r="Q32" s="10"/>
      <c r="R32" s="10"/>
      <c r="S32" s="10"/>
      <c r="T32" s="1"/>
    </row>
    <row r="33" spans="1:20" ht="28.8" customHeight="1" x14ac:dyDescent="0.3">
      <c r="A33" s="59"/>
      <c r="B33" s="60"/>
      <c r="C33" s="10"/>
      <c r="D33" s="61"/>
      <c r="E33" s="10"/>
      <c r="F33" s="61"/>
      <c r="G33" s="10"/>
      <c r="H33" s="62"/>
      <c r="I33" s="62"/>
      <c r="J33" s="62"/>
      <c r="K33" s="10"/>
      <c r="L33" s="10"/>
      <c r="M33" s="10"/>
      <c r="N33" s="10"/>
      <c r="O33" s="10"/>
      <c r="P33" s="10"/>
      <c r="Q33" s="10"/>
      <c r="R33" s="10"/>
      <c r="S33" s="10"/>
      <c r="T33" s="1"/>
    </row>
    <row r="34" spans="1:20" ht="28.8" customHeight="1" x14ac:dyDescent="0.3">
      <c r="A34" s="59"/>
      <c r="B34" s="60"/>
      <c r="C34" s="10"/>
      <c r="D34" s="61"/>
      <c r="E34" s="10"/>
      <c r="F34" s="61"/>
      <c r="G34" s="10"/>
      <c r="H34" s="62"/>
      <c r="I34" s="62"/>
      <c r="J34" s="62"/>
      <c r="K34" s="10"/>
      <c r="L34" s="10"/>
      <c r="M34" s="10"/>
      <c r="N34" s="10"/>
      <c r="O34" s="10"/>
      <c r="P34" s="10"/>
      <c r="Q34" s="10"/>
      <c r="R34" s="10"/>
      <c r="S34" s="10"/>
      <c r="T34" s="1"/>
    </row>
    <row r="35" spans="1:20" ht="28.8" customHeight="1" x14ac:dyDescent="0.3">
      <c r="A35" s="59"/>
      <c r="B35" s="60"/>
      <c r="C35" s="10"/>
      <c r="D35" s="61"/>
      <c r="E35" s="10"/>
      <c r="F35" s="61"/>
      <c r="G35" s="10"/>
      <c r="H35" s="62"/>
      <c r="I35" s="62"/>
      <c r="J35" s="62"/>
      <c r="K35" s="10"/>
      <c r="L35" s="10"/>
      <c r="M35" s="10"/>
      <c r="N35" s="10"/>
      <c r="O35" s="10"/>
      <c r="P35" s="10"/>
      <c r="Q35" s="10"/>
      <c r="R35" s="10"/>
      <c r="S35" s="10"/>
      <c r="T35" s="1"/>
    </row>
    <row r="36" spans="1:20" ht="28.8" customHeight="1" x14ac:dyDescent="0.3">
      <c r="A36" s="59"/>
      <c r="B36" s="60"/>
      <c r="C36" s="10"/>
      <c r="D36" s="61"/>
      <c r="E36" s="10"/>
      <c r="F36" s="61"/>
      <c r="G36" s="10"/>
      <c r="H36" s="62"/>
      <c r="I36" s="62"/>
      <c r="J36" s="62"/>
      <c r="K36" s="10"/>
      <c r="L36" s="10"/>
      <c r="M36" s="10"/>
      <c r="N36" s="10"/>
      <c r="O36" s="10"/>
      <c r="P36" s="10"/>
      <c r="Q36" s="10"/>
      <c r="R36" s="10"/>
      <c r="S36" s="10"/>
      <c r="T36" s="1"/>
    </row>
    <row r="37" spans="1:20" ht="28.8" customHeight="1" x14ac:dyDescent="0.3">
      <c r="A37" s="59"/>
      <c r="B37" s="60"/>
      <c r="C37" s="10"/>
      <c r="D37" s="61"/>
      <c r="E37" s="10"/>
      <c r="F37" s="61"/>
      <c r="G37" s="10"/>
      <c r="H37" s="62"/>
      <c r="I37" s="62"/>
      <c r="J37" s="62"/>
      <c r="K37" s="10"/>
      <c r="L37" s="10"/>
      <c r="M37" s="10"/>
      <c r="N37" s="10"/>
      <c r="O37" s="10"/>
      <c r="P37" s="10"/>
      <c r="Q37" s="10"/>
      <c r="R37" s="10"/>
      <c r="S37" s="10"/>
      <c r="T37" s="1"/>
    </row>
    <row r="38" spans="1:20" ht="28.8" customHeight="1" x14ac:dyDescent="0.3">
      <c r="A38" s="59"/>
      <c r="B38" s="60"/>
      <c r="C38" s="10"/>
      <c r="D38" s="61"/>
      <c r="E38" s="10"/>
      <c r="F38" s="61"/>
      <c r="G38" s="10"/>
      <c r="H38" s="62"/>
      <c r="I38" s="62"/>
      <c r="J38" s="62"/>
      <c r="K38" s="10"/>
      <c r="L38" s="10"/>
      <c r="M38" s="10"/>
      <c r="N38" s="10"/>
      <c r="O38" s="10"/>
      <c r="P38" s="10"/>
      <c r="Q38" s="10"/>
      <c r="R38" s="10"/>
      <c r="S38" s="10"/>
      <c r="T38" s="1"/>
    </row>
    <row r="39" spans="1:20" ht="28.8" customHeight="1" x14ac:dyDescent="0.3">
      <c r="A39" s="59"/>
      <c r="B39" s="60"/>
      <c r="C39" s="10"/>
      <c r="D39" s="61"/>
      <c r="E39" s="10"/>
      <c r="F39" s="61"/>
      <c r="G39" s="10"/>
      <c r="H39" s="62"/>
      <c r="I39" s="62"/>
      <c r="J39" s="62"/>
      <c r="K39" s="10"/>
      <c r="L39" s="10"/>
      <c r="M39" s="10"/>
      <c r="N39" s="10"/>
      <c r="O39" s="10"/>
      <c r="P39" s="10"/>
      <c r="Q39" s="10"/>
      <c r="R39" s="10"/>
      <c r="S39" s="10"/>
      <c r="T39" s="1"/>
    </row>
    <row r="40" spans="1:20" ht="28.8" customHeight="1" x14ac:dyDescent="0.3">
      <c r="A40" s="59"/>
      <c r="B40" s="60"/>
      <c r="C40" s="10"/>
      <c r="D40" s="61"/>
      <c r="E40" s="10"/>
      <c r="F40" s="61"/>
      <c r="G40" s="10"/>
      <c r="H40" s="62"/>
      <c r="I40" s="62"/>
      <c r="J40" s="62"/>
      <c r="K40" s="10"/>
      <c r="L40" s="10"/>
      <c r="M40" s="10"/>
      <c r="N40" s="10"/>
      <c r="O40" s="10"/>
      <c r="P40" s="10"/>
      <c r="Q40" s="10"/>
      <c r="R40" s="10"/>
      <c r="S40" s="10"/>
      <c r="T40" s="1"/>
    </row>
    <row r="41" spans="1:20" ht="28.8" customHeight="1" x14ac:dyDescent="0.3">
      <c r="A41" s="59"/>
      <c r="B41" s="60"/>
      <c r="C41" s="10"/>
      <c r="D41" s="61"/>
      <c r="E41" s="10"/>
      <c r="F41" s="61"/>
      <c r="G41" s="10"/>
      <c r="H41" s="62"/>
      <c r="I41" s="62"/>
      <c r="J41" s="62"/>
      <c r="K41" s="10"/>
      <c r="L41" s="10"/>
      <c r="M41" s="10"/>
      <c r="N41" s="10"/>
      <c r="O41" s="10"/>
      <c r="P41" s="10"/>
      <c r="Q41" s="10"/>
      <c r="R41" s="10"/>
      <c r="S41" s="10"/>
      <c r="T41" s="1"/>
    </row>
    <row r="42" spans="1:20" ht="28.8" customHeight="1" x14ac:dyDescent="0.3">
      <c r="A42" s="59"/>
      <c r="B42" s="60"/>
      <c r="C42" s="10"/>
      <c r="D42" s="61"/>
      <c r="E42" s="10"/>
      <c r="F42" s="61"/>
      <c r="G42" s="10"/>
      <c r="H42" s="62"/>
      <c r="I42" s="62"/>
      <c r="J42" s="62"/>
      <c r="K42" s="10"/>
      <c r="L42" s="10"/>
      <c r="M42" s="10"/>
      <c r="N42" s="10"/>
      <c r="O42" s="10"/>
      <c r="P42" s="10"/>
      <c r="Q42" s="10"/>
      <c r="R42" s="10"/>
      <c r="S42" s="10"/>
      <c r="T42" s="1"/>
    </row>
    <row r="43" spans="1:20" ht="28.8" customHeight="1" x14ac:dyDescent="0.3">
      <c r="A43" s="59"/>
      <c r="B43" s="60"/>
      <c r="C43" s="10"/>
      <c r="D43" s="61"/>
      <c r="E43" s="10"/>
      <c r="F43" s="61"/>
      <c r="G43" s="10"/>
      <c r="H43" s="62"/>
      <c r="I43" s="62"/>
      <c r="J43" s="62"/>
      <c r="K43" s="10"/>
      <c r="L43" s="10"/>
      <c r="M43" s="10"/>
      <c r="N43" s="10"/>
      <c r="O43" s="10"/>
      <c r="P43" s="10"/>
      <c r="Q43" s="10"/>
      <c r="R43" s="10"/>
      <c r="S43" s="10"/>
      <c r="T43" s="1"/>
    </row>
    <row r="44" spans="1:20" ht="28.8" customHeight="1" x14ac:dyDescent="0.3">
      <c r="A44" s="59"/>
      <c r="B44" s="60"/>
      <c r="C44" s="10"/>
      <c r="D44" s="61"/>
      <c r="E44" s="10"/>
      <c r="F44" s="61"/>
      <c r="G44" s="10"/>
      <c r="H44" s="62"/>
      <c r="I44" s="62"/>
      <c r="J44" s="62"/>
      <c r="K44" s="10"/>
      <c r="L44" s="10"/>
      <c r="M44" s="10"/>
      <c r="N44" s="10"/>
      <c r="O44" s="10"/>
      <c r="P44" s="10"/>
      <c r="Q44" s="10"/>
      <c r="R44" s="10"/>
      <c r="S44" s="10"/>
      <c r="T44" s="1"/>
    </row>
    <row r="45" spans="1:20" ht="28.8" customHeight="1" x14ac:dyDescent="0.3">
      <c r="A45" s="59"/>
      <c r="B45" s="60"/>
      <c r="C45" s="10"/>
      <c r="D45" s="61"/>
      <c r="E45" s="10"/>
      <c r="F45" s="61"/>
      <c r="G45" s="10"/>
      <c r="H45" s="62"/>
      <c r="I45" s="62"/>
      <c r="J45" s="62"/>
      <c r="K45" s="10"/>
      <c r="L45" s="10"/>
      <c r="M45" s="10"/>
      <c r="N45" s="10"/>
      <c r="O45" s="10"/>
      <c r="P45" s="10"/>
      <c r="Q45" s="10"/>
      <c r="R45" s="10"/>
      <c r="S45" s="10"/>
      <c r="T45" s="1"/>
    </row>
    <row r="46" spans="1:20" ht="28.8" customHeight="1" x14ac:dyDescent="0.3">
      <c r="A46" s="59"/>
      <c r="B46" s="60"/>
      <c r="C46" s="10"/>
      <c r="D46" s="61"/>
      <c r="E46" s="10"/>
      <c r="F46" s="61"/>
      <c r="G46" s="10"/>
      <c r="H46" s="62"/>
      <c r="I46" s="62"/>
      <c r="J46" s="62"/>
      <c r="K46" s="10"/>
      <c r="L46" s="10"/>
      <c r="M46" s="10"/>
      <c r="N46" s="10"/>
      <c r="O46" s="10"/>
      <c r="P46" s="10"/>
      <c r="Q46" s="10"/>
      <c r="R46" s="10"/>
      <c r="S46" s="10"/>
      <c r="T46" s="1"/>
    </row>
    <row r="47" spans="1:20" ht="28.8" customHeight="1" x14ac:dyDescent="0.3">
      <c r="A47" s="59"/>
      <c r="B47" s="60"/>
      <c r="C47" s="10"/>
      <c r="D47" s="61"/>
      <c r="E47" s="10"/>
      <c r="F47" s="61"/>
      <c r="G47" s="10"/>
      <c r="H47" s="62"/>
      <c r="I47" s="62"/>
      <c r="J47" s="62"/>
      <c r="K47" s="10"/>
      <c r="L47" s="10"/>
      <c r="M47" s="10"/>
      <c r="N47" s="10"/>
      <c r="O47" s="10"/>
      <c r="P47" s="10"/>
      <c r="Q47" s="10"/>
      <c r="R47" s="10"/>
      <c r="S47" s="10"/>
      <c r="T47" s="1"/>
    </row>
    <row r="48" spans="1:20" ht="28.8" customHeight="1" x14ac:dyDescent="0.3">
      <c r="A48" s="59"/>
      <c r="B48" s="60"/>
      <c r="C48" s="10"/>
      <c r="D48" s="61"/>
      <c r="E48" s="10"/>
      <c r="F48" s="61"/>
      <c r="G48" s="10"/>
      <c r="H48" s="62"/>
      <c r="I48" s="62"/>
      <c r="J48" s="62"/>
      <c r="K48" s="10"/>
      <c r="L48" s="10"/>
      <c r="M48" s="10"/>
      <c r="N48" s="10"/>
      <c r="O48" s="10"/>
      <c r="P48" s="10"/>
      <c r="Q48" s="10"/>
      <c r="R48" s="10"/>
      <c r="S48" s="10"/>
      <c r="T48" s="1"/>
    </row>
    <row r="49" spans="1:20" ht="28.8" customHeight="1" x14ac:dyDescent="0.3">
      <c r="A49" s="59"/>
      <c r="B49" s="60"/>
      <c r="C49" s="10"/>
      <c r="D49" s="61"/>
      <c r="E49" s="10"/>
      <c r="F49" s="61"/>
      <c r="G49" s="10"/>
      <c r="H49" s="62"/>
      <c r="I49" s="62"/>
      <c r="J49" s="62"/>
      <c r="K49" s="10"/>
      <c r="L49" s="10"/>
      <c r="M49" s="10"/>
      <c r="N49" s="10"/>
      <c r="O49" s="10"/>
      <c r="P49" s="10"/>
      <c r="Q49" s="10"/>
      <c r="R49" s="10"/>
      <c r="S49" s="10"/>
      <c r="T49" s="1"/>
    </row>
    <row r="50" spans="1:20" ht="28.8" customHeight="1" x14ac:dyDescent="0.3">
      <c r="A50" s="59"/>
      <c r="B50" s="60"/>
      <c r="C50" s="10"/>
      <c r="D50" s="61"/>
      <c r="E50" s="10"/>
      <c r="F50" s="61"/>
      <c r="G50" s="10"/>
      <c r="H50" s="62"/>
      <c r="I50" s="62"/>
      <c r="J50" s="62"/>
      <c r="K50" s="10"/>
      <c r="L50" s="10"/>
      <c r="M50" s="10"/>
      <c r="N50" s="10"/>
      <c r="O50" s="10"/>
      <c r="P50" s="10"/>
      <c r="Q50" s="10"/>
      <c r="R50" s="10"/>
      <c r="S50" s="10"/>
      <c r="T50" s="1"/>
    </row>
    <row r="51" spans="1:20" ht="28.8" customHeight="1" x14ac:dyDescent="0.3">
      <c r="A51" s="59"/>
      <c r="B51" s="60"/>
      <c r="C51" s="10"/>
      <c r="D51" s="61"/>
      <c r="E51" s="10"/>
      <c r="F51" s="61"/>
      <c r="G51" s="10"/>
      <c r="H51" s="62"/>
      <c r="I51" s="62"/>
      <c r="J51" s="62"/>
      <c r="K51" s="10"/>
      <c r="L51" s="10"/>
      <c r="M51" s="10"/>
      <c r="N51" s="10"/>
      <c r="O51" s="10"/>
      <c r="P51" s="10"/>
      <c r="Q51" s="10"/>
      <c r="R51" s="10"/>
      <c r="S51" s="10"/>
      <c r="T51" s="1"/>
    </row>
    <row r="52" spans="1:20" ht="28.8" customHeight="1" x14ac:dyDescent="0.3">
      <c r="A52" s="59"/>
      <c r="B52" s="60"/>
      <c r="C52" s="10"/>
      <c r="D52" s="61"/>
      <c r="E52" s="10"/>
      <c r="F52" s="61"/>
      <c r="G52" s="10"/>
      <c r="H52" s="62"/>
      <c r="I52" s="62"/>
      <c r="J52" s="62"/>
      <c r="K52" s="10"/>
      <c r="L52" s="10"/>
      <c r="M52" s="10"/>
      <c r="N52" s="10"/>
      <c r="O52" s="10"/>
      <c r="P52" s="10"/>
      <c r="Q52" s="10"/>
      <c r="R52" s="10"/>
      <c r="S52" s="10"/>
      <c r="T52" s="1"/>
    </row>
    <row r="53" spans="1:20" ht="28.8" customHeight="1" x14ac:dyDescent="0.3">
      <c r="A53" s="59"/>
      <c r="B53" s="60"/>
      <c r="C53" s="10"/>
      <c r="D53" s="61"/>
      <c r="E53" s="10"/>
      <c r="F53" s="61"/>
      <c r="G53" s="10"/>
      <c r="H53" s="62"/>
      <c r="I53" s="62"/>
      <c r="J53" s="62"/>
      <c r="K53" s="10"/>
      <c r="L53" s="10"/>
      <c r="M53" s="10"/>
      <c r="N53" s="10"/>
      <c r="O53" s="10"/>
      <c r="P53" s="10"/>
      <c r="Q53" s="10"/>
      <c r="R53" s="10"/>
      <c r="S53" s="10"/>
      <c r="T53" s="1"/>
    </row>
    <row r="54" spans="1:20" ht="28.8" customHeight="1" x14ac:dyDescent="0.3">
      <c r="A54" s="59"/>
      <c r="B54" s="60"/>
      <c r="C54" s="10"/>
      <c r="D54" s="61"/>
      <c r="E54" s="10"/>
      <c r="F54" s="61"/>
      <c r="G54" s="10"/>
      <c r="H54" s="62"/>
      <c r="I54" s="62"/>
      <c r="J54" s="62"/>
      <c r="K54" s="10"/>
      <c r="L54" s="10"/>
      <c r="M54" s="10"/>
      <c r="N54" s="10"/>
      <c r="O54" s="10"/>
      <c r="P54" s="10"/>
      <c r="Q54" s="10"/>
      <c r="R54" s="10"/>
      <c r="S54" s="10"/>
      <c r="T54" s="1"/>
    </row>
    <row r="55" spans="1:20" ht="28.8" customHeight="1" x14ac:dyDescent="0.3">
      <c r="A55" s="59"/>
      <c r="B55" s="60"/>
      <c r="C55" s="10"/>
      <c r="D55" s="61"/>
      <c r="E55" s="10"/>
      <c r="F55" s="61"/>
      <c r="G55" s="10"/>
      <c r="H55" s="62"/>
      <c r="I55" s="62"/>
      <c r="J55" s="62"/>
      <c r="K55" s="10"/>
      <c r="L55" s="10"/>
      <c r="M55" s="10"/>
      <c r="N55" s="10"/>
      <c r="O55" s="10"/>
      <c r="P55" s="10"/>
      <c r="Q55" s="10"/>
      <c r="R55" s="10"/>
      <c r="S55" s="10"/>
      <c r="T55" s="1"/>
    </row>
    <row r="56" spans="1:20" ht="28.8" customHeight="1" x14ac:dyDescent="0.3">
      <c r="A56" s="59"/>
      <c r="B56" s="60"/>
      <c r="C56" s="10"/>
      <c r="D56" s="61"/>
      <c r="E56" s="10"/>
      <c r="F56" s="61"/>
      <c r="G56" s="10"/>
      <c r="H56" s="62"/>
      <c r="I56" s="62"/>
      <c r="J56" s="62"/>
      <c r="K56" s="10"/>
      <c r="L56" s="10"/>
      <c r="M56" s="10"/>
      <c r="N56" s="10"/>
      <c r="O56" s="10"/>
      <c r="P56" s="10"/>
      <c r="Q56" s="10"/>
      <c r="R56" s="10"/>
      <c r="S56" s="10"/>
      <c r="T56" s="1"/>
    </row>
    <row r="57" spans="1:20" ht="28.8" customHeight="1" x14ac:dyDescent="0.3">
      <c r="A57" s="59"/>
      <c r="B57" s="60"/>
      <c r="C57" s="10"/>
      <c r="D57" s="61"/>
      <c r="E57" s="10"/>
      <c r="F57" s="61"/>
      <c r="G57" s="10"/>
      <c r="H57" s="62"/>
      <c r="I57" s="62"/>
      <c r="J57" s="62"/>
      <c r="K57" s="10"/>
      <c r="L57" s="10"/>
      <c r="M57" s="10"/>
      <c r="N57" s="10"/>
      <c r="O57" s="10"/>
      <c r="P57" s="10"/>
      <c r="Q57" s="10"/>
      <c r="R57" s="10"/>
      <c r="S57" s="10"/>
      <c r="T57" s="1"/>
    </row>
    <row r="58" spans="1:20" ht="28.8" customHeight="1" x14ac:dyDescent="0.3">
      <c r="A58" s="59"/>
      <c r="B58" s="60"/>
      <c r="C58" s="10"/>
      <c r="D58" s="61"/>
      <c r="E58" s="10"/>
      <c r="F58" s="61"/>
      <c r="G58" s="10"/>
      <c r="H58" s="62"/>
      <c r="I58" s="62"/>
      <c r="J58" s="62"/>
      <c r="K58" s="10"/>
      <c r="L58" s="10"/>
      <c r="M58" s="10"/>
      <c r="N58" s="10"/>
      <c r="O58" s="10"/>
      <c r="P58" s="10"/>
      <c r="Q58" s="10"/>
      <c r="R58" s="10"/>
      <c r="S58" s="10"/>
      <c r="T58" s="1"/>
    </row>
    <row r="59" spans="1:20" ht="28.8" customHeight="1" x14ac:dyDescent="0.3">
      <c r="A59" s="59"/>
      <c r="B59" s="60"/>
      <c r="C59" s="10"/>
      <c r="D59" s="61"/>
      <c r="E59" s="10"/>
      <c r="F59" s="61"/>
      <c r="G59" s="10"/>
      <c r="H59" s="62"/>
      <c r="I59" s="62"/>
      <c r="J59" s="62"/>
      <c r="K59" s="10"/>
      <c r="L59" s="10"/>
      <c r="M59" s="10"/>
      <c r="N59" s="10"/>
      <c r="O59" s="10"/>
      <c r="P59" s="10"/>
      <c r="Q59" s="10"/>
      <c r="R59" s="10"/>
      <c r="S59" s="10"/>
      <c r="T59" s="1"/>
    </row>
    <row r="60" spans="1:20" ht="28.8" customHeight="1" x14ac:dyDescent="0.3">
      <c r="A60" s="59"/>
      <c r="B60" s="60"/>
      <c r="C60" s="10"/>
      <c r="D60" s="61"/>
      <c r="E60" s="10"/>
      <c r="F60" s="61"/>
      <c r="G60" s="10"/>
      <c r="H60" s="62"/>
      <c r="I60" s="62"/>
      <c r="J60" s="62"/>
      <c r="K60" s="10"/>
      <c r="L60" s="10"/>
      <c r="M60" s="10"/>
      <c r="N60" s="10"/>
      <c r="O60" s="10"/>
      <c r="P60" s="10"/>
      <c r="Q60" s="10"/>
      <c r="R60" s="10"/>
      <c r="S60" s="10"/>
      <c r="T60" s="1"/>
    </row>
    <row r="61" spans="1:20" ht="28.8" customHeight="1" x14ac:dyDescent="0.3">
      <c r="A61" s="59"/>
      <c r="B61" s="60"/>
      <c r="C61" s="10"/>
      <c r="D61" s="61"/>
      <c r="E61" s="10"/>
      <c r="F61" s="61"/>
      <c r="G61" s="10"/>
      <c r="H61" s="62"/>
      <c r="I61" s="62"/>
      <c r="J61" s="62"/>
      <c r="K61" s="10"/>
      <c r="L61" s="10"/>
      <c r="M61" s="10"/>
      <c r="N61" s="10"/>
      <c r="O61" s="10"/>
      <c r="P61" s="10"/>
      <c r="Q61" s="10"/>
      <c r="R61" s="10"/>
      <c r="S61" s="10"/>
      <c r="T61" s="1"/>
    </row>
    <row r="62" spans="1:20" ht="28.8" customHeight="1" x14ac:dyDescent="0.3">
      <c r="A62" s="59"/>
      <c r="B62" s="60"/>
      <c r="C62" s="10"/>
      <c r="D62" s="61"/>
      <c r="E62" s="10"/>
      <c r="F62" s="61"/>
      <c r="G62" s="10"/>
      <c r="H62" s="62"/>
      <c r="I62" s="62"/>
      <c r="J62" s="62"/>
      <c r="K62" s="10"/>
      <c r="L62" s="10"/>
      <c r="M62" s="10"/>
      <c r="N62" s="10"/>
      <c r="O62" s="10"/>
      <c r="P62" s="10"/>
      <c r="Q62" s="10"/>
      <c r="R62" s="10"/>
      <c r="S62" s="10"/>
      <c r="T62" s="1"/>
    </row>
    <row r="63" spans="1:20" ht="28.8" customHeight="1" x14ac:dyDescent="0.3">
      <c r="A63" s="59"/>
      <c r="B63" s="60"/>
      <c r="C63" s="10"/>
      <c r="D63" s="61"/>
      <c r="E63" s="10"/>
      <c r="F63" s="61"/>
      <c r="G63" s="10"/>
      <c r="H63" s="62"/>
      <c r="I63" s="62"/>
      <c r="J63" s="62"/>
      <c r="K63" s="10"/>
      <c r="L63" s="10"/>
      <c r="M63" s="10"/>
      <c r="N63" s="10"/>
      <c r="O63" s="10"/>
      <c r="P63" s="10"/>
      <c r="Q63" s="10"/>
      <c r="R63" s="10"/>
      <c r="S63" s="10"/>
      <c r="T63" s="1"/>
    </row>
    <row r="64" spans="1:20" ht="28.8" customHeight="1" x14ac:dyDescent="0.3">
      <c r="A64" s="59"/>
      <c r="B64" s="60"/>
      <c r="C64" s="10"/>
      <c r="D64" s="61"/>
      <c r="E64" s="10"/>
      <c r="F64" s="61"/>
      <c r="G64" s="10"/>
      <c r="H64" s="62"/>
      <c r="I64" s="62"/>
      <c r="J64" s="62"/>
      <c r="K64" s="10"/>
      <c r="L64" s="10"/>
      <c r="M64" s="10"/>
      <c r="N64" s="10"/>
      <c r="O64" s="10"/>
      <c r="P64" s="10"/>
      <c r="Q64" s="10"/>
      <c r="R64" s="10"/>
      <c r="S64" s="10"/>
      <c r="T64" s="1"/>
    </row>
    <row r="65" spans="1:20" ht="28.8" customHeight="1" x14ac:dyDescent="0.3">
      <c r="A65" s="59"/>
      <c r="B65" s="60"/>
      <c r="C65" s="10"/>
      <c r="D65" s="61"/>
      <c r="E65" s="10"/>
      <c r="F65" s="61"/>
      <c r="G65" s="10"/>
      <c r="H65" s="62"/>
      <c r="I65" s="62"/>
      <c r="J65" s="62"/>
      <c r="K65" s="10"/>
      <c r="L65" s="10"/>
      <c r="M65" s="10"/>
      <c r="N65" s="10"/>
      <c r="O65" s="10"/>
      <c r="P65" s="10"/>
      <c r="Q65" s="10"/>
      <c r="R65" s="10"/>
      <c r="S65" s="10"/>
      <c r="T65" s="1"/>
    </row>
    <row r="66" spans="1:20" ht="28.8" customHeight="1" x14ac:dyDescent="0.3">
      <c r="A66" s="59"/>
      <c r="B66" s="60"/>
      <c r="C66" s="10"/>
      <c r="D66" s="61"/>
      <c r="E66" s="10"/>
      <c r="F66" s="61"/>
      <c r="G66" s="10"/>
      <c r="H66" s="62"/>
      <c r="I66" s="62"/>
      <c r="J66" s="62"/>
      <c r="K66" s="10"/>
      <c r="L66" s="10"/>
      <c r="M66" s="10"/>
      <c r="N66" s="10"/>
      <c r="O66" s="10"/>
      <c r="P66" s="10"/>
      <c r="Q66" s="10"/>
      <c r="R66" s="10"/>
      <c r="S66" s="10"/>
      <c r="T66" s="1"/>
    </row>
    <row r="67" spans="1:20" ht="28.8" customHeight="1" x14ac:dyDescent="0.3">
      <c r="A67" s="59"/>
      <c r="B67" s="60"/>
      <c r="C67" s="10"/>
      <c r="D67" s="61"/>
      <c r="E67" s="10"/>
      <c r="F67" s="61"/>
      <c r="G67" s="10"/>
      <c r="H67" s="62"/>
      <c r="I67" s="62"/>
      <c r="J67" s="62"/>
      <c r="K67" s="10"/>
      <c r="L67" s="10"/>
      <c r="M67" s="10"/>
      <c r="N67" s="10"/>
      <c r="O67" s="10"/>
      <c r="P67" s="10"/>
      <c r="Q67" s="10"/>
      <c r="R67" s="10"/>
      <c r="S67" s="10"/>
      <c r="T67" s="1"/>
    </row>
    <row r="68" spans="1:20" ht="28.8" customHeight="1" x14ac:dyDescent="0.3">
      <c r="A68" s="59"/>
      <c r="B68" s="60"/>
      <c r="C68" s="10"/>
      <c r="D68" s="61"/>
      <c r="E68" s="10"/>
      <c r="F68" s="61"/>
      <c r="G68" s="10"/>
      <c r="H68" s="62"/>
      <c r="I68" s="62"/>
      <c r="J68" s="62"/>
      <c r="K68" s="10"/>
      <c r="L68" s="10"/>
      <c r="M68" s="10"/>
      <c r="N68" s="10"/>
      <c r="O68" s="10"/>
      <c r="P68" s="10"/>
      <c r="Q68" s="10"/>
      <c r="R68" s="10"/>
      <c r="S68" s="10"/>
      <c r="T68" s="1"/>
    </row>
    <row r="69" spans="1:20" ht="28.8" customHeight="1" x14ac:dyDescent="0.3">
      <c r="A69" s="59"/>
      <c r="B69" s="60"/>
      <c r="C69" s="10"/>
      <c r="D69" s="61"/>
      <c r="E69" s="10"/>
      <c r="F69" s="61"/>
      <c r="G69" s="10"/>
      <c r="H69" s="62"/>
      <c r="I69" s="62"/>
      <c r="J69" s="62"/>
      <c r="K69" s="10"/>
      <c r="L69" s="10"/>
      <c r="M69" s="10"/>
      <c r="N69" s="10"/>
      <c r="O69" s="10"/>
      <c r="P69" s="10"/>
      <c r="Q69" s="10"/>
      <c r="R69" s="10"/>
      <c r="S69" s="10"/>
      <c r="T69" s="1"/>
    </row>
    <row r="70" spans="1:20" ht="28.8" customHeight="1" x14ac:dyDescent="0.3">
      <c r="A70" s="59"/>
      <c r="B70" s="60"/>
      <c r="C70" s="10"/>
      <c r="D70" s="61"/>
      <c r="E70" s="10"/>
      <c r="F70" s="61"/>
      <c r="G70" s="10"/>
      <c r="H70" s="62"/>
      <c r="I70" s="62"/>
      <c r="J70" s="62"/>
      <c r="K70" s="10"/>
      <c r="L70" s="10"/>
      <c r="M70" s="10"/>
      <c r="N70" s="10"/>
      <c r="O70" s="10"/>
      <c r="P70" s="10"/>
      <c r="Q70" s="10"/>
      <c r="R70" s="10"/>
      <c r="S70" s="10"/>
      <c r="T70" s="1"/>
    </row>
    <row r="71" spans="1:20" ht="28.8" customHeight="1" x14ac:dyDescent="0.3">
      <c r="A71" s="59"/>
      <c r="B71" s="60"/>
      <c r="C71" s="10"/>
      <c r="D71" s="61"/>
      <c r="E71" s="10"/>
      <c r="F71" s="61"/>
      <c r="G71" s="10"/>
      <c r="H71" s="62"/>
      <c r="I71" s="62"/>
      <c r="J71" s="62"/>
      <c r="K71" s="10"/>
      <c r="L71" s="10"/>
      <c r="M71" s="10"/>
      <c r="N71" s="10"/>
      <c r="O71" s="10"/>
      <c r="P71" s="10"/>
      <c r="Q71" s="10"/>
      <c r="R71" s="10"/>
      <c r="S71" s="10"/>
      <c r="T71" s="1"/>
    </row>
    <row r="72" spans="1:20" ht="28.8" customHeight="1" x14ac:dyDescent="0.3">
      <c r="A72" s="59"/>
      <c r="B72" s="60"/>
      <c r="C72" s="10"/>
      <c r="D72" s="61"/>
      <c r="E72" s="10"/>
      <c r="F72" s="61"/>
      <c r="G72" s="10"/>
      <c r="H72" s="62"/>
      <c r="I72" s="62"/>
      <c r="J72" s="62"/>
      <c r="K72" s="10"/>
      <c r="L72" s="10"/>
      <c r="M72" s="10"/>
      <c r="N72" s="10"/>
      <c r="O72" s="10"/>
      <c r="P72" s="10"/>
      <c r="Q72" s="10"/>
      <c r="R72" s="10"/>
      <c r="S72" s="10"/>
      <c r="T72" s="1"/>
    </row>
    <row r="73" spans="1:20" ht="28.8" customHeight="1" x14ac:dyDescent="0.3">
      <c r="A73" s="59"/>
      <c r="B73" s="60"/>
      <c r="C73" s="10"/>
      <c r="D73" s="61"/>
      <c r="E73" s="10"/>
      <c r="F73" s="61"/>
      <c r="G73" s="10"/>
      <c r="H73" s="62"/>
      <c r="I73" s="62"/>
      <c r="J73" s="62"/>
      <c r="K73" s="10"/>
      <c r="L73" s="10"/>
      <c r="M73" s="10"/>
      <c r="N73" s="10"/>
      <c r="O73" s="10"/>
      <c r="P73" s="10"/>
      <c r="Q73" s="10"/>
      <c r="R73" s="10"/>
      <c r="S73" s="10"/>
      <c r="T73" s="1"/>
    </row>
    <row r="74" spans="1:20" ht="28.8" customHeight="1" x14ac:dyDescent="0.3">
      <c r="A74" s="59"/>
      <c r="B74" s="60"/>
      <c r="C74" s="10"/>
      <c r="D74" s="61"/>
      <c r="E74" s="10"/>
      <c r="F74" s="61"/>
      <c r="G74" s="10"/>
      <c r="H74" s="62"/>
      <c r="I74" s="62"/>
      <c r="J74" s="62"/>
      <c r="K74" s="10"/>
      <c r="L74" s="10"/>
      <c r="M74" s="10"/>
      <c r="N74" s="10"/>
      <c r="O74" s="10"/>
      <c r="P74" s="10"/>
      <c r="Q74" s="10"/>
      <c r="R74" s="10"/>
      <c r="S74" s="10"/>
      <c r="T74" s="1"/>
    </row>
    <row r="75" spans="1:20" ht="28.8" customHeight="1" x14ac:dyDescent="0.3">
      <c r="A75" s="59"/>
      <c r="B75" s="60"/>
      <c r="C75" s="10"/>
      <c r="D75" s="61"/>
      <c r="E75" s="10"/>
      <c r="F75" s="61"/>
      <c r="G75" s="10"/>
      <c r="H75" s="62"/>
      <c r="I75" s="62"/>
      <c r="J75" s="62"/>
      <c r="K75" s="10"/>
      <c r="L75" s="10"/>
      <c r="M75" s="10"/>
      <c r="N75" s="10"/>
      <c r="O75" s="10"/>
      <c r="P75" s="10"/>
      <c r="Q75" s="10"/>
      <c r="R75" s="10"/>
      <c r="S75" s="10"/>
      <c r="T75" s="1"/>
    </row>
    <row r="76" spans="1:20" ht="28.8" customHeight="1" x14ac:dyDescent="0.3">
      <c r="A76" s="59"/>
      <c r="B76" s="60"/>
      <c r="C76" s="10"/>
      <c r="D76" s="61"/>
      <c r="E76" s="10"/>
      <c r="F76" s="61"/>
      <c r="G76" s="10"/>
      <c r="H76" s="62"/>
      <c r="I76" s="62"/>
      <c r="J76" s="62"/>
      <c r="K76" s="10"/>
      <c r="L76" s="10"/>
      <c r="M76" s="10"/>
      <c r="N76" s="10"/>
      <c r="O76" s="10"/>
      <c r="P76" s="10"/>
      <c r="Q76" s="10"/>
      <c r="R76" s="10"/>
      <c r="S76" s="10"/>
      <c r="T76" s="1"/>
    </row>
    <row r="77" spans="1:20" ht="28.8" customHeight="1" x14ac:dyDescent="0.3">
      <c r="A77" s="59"/>
      <c r="B77" s="60"/>
      <c r="C77" s="10"/>
      <c r="D77" s="61"/>
      <c r="E77" s="10"/>
      <c r="F77" s="61"/>
      <c r="G77" s="10"/>
      <c r="H77" s="62"/>
      <c r="I77" s="62"/>
      <c r="J77" s="62"/>
      <c r="K77" s="10"/>
      <c r="L77" s="10"/>
      <c r="M77" s="10"/>
      <c r="N77" s="10"/>
      <c r="O77" s="10"/>
      <c r="P77" s="10"/>
      <c r="Q77" s="10"/>
      <c r="R77" s="10"/>
      <c r="S77" s="10"/>
      <c r="T77" s="1"/>
    </row>
    <row r="78" spans="1:20" ht="28.8" customHeight="1" x14ac:dyDescent="0.3">
      <c r="A78" s="59"/>
      <c r="B78" s="60"/>
      <c r="C78" s="10"/>
      <c r="D78" s="61"/>
      <c r="E78" s="10"/>
      <c r="F78" s="61"/>
      <c r="G78" s="10"/>
      <c r="H78" s="62"/>
      <c r="I78" s="62"/>
      <c r="J78" s="62"/>
      <c r="K78" s="10"/>
      <c r="L78" s="10"/>
      <c r="M78" s="10"/>
      <c r="N78" s="10"/>
      <c r="O78" s="10"/>
      <c r="P78" s="10"/>
      <c r="Q78" s="10"/>
      <c r="R78" s="10"/>
      <c r="S78" s="10"/>
      <c r="T78" s="1"/>
    </row>
    <row r="79" spans="1:20" ht="28.8" customHeight="1" x14ac:dyDescent="0.3">
      <c r="A79" s="59"/>
      <c r="B79" s="60"/>
      <c r="C79" s="10"/>
      <c r="D79" s="61"/>
      <c r="E79" s="10"/>
      <c r="F79" s="61"/>
      <c r="G79" s="10"/>
      <c r="H79" s="62"/>
      <c r="I79" s="62"/>
      <c r="J79" s="62"/>
      <c r="K79" s="10"/>
      <c r="L79" s="10"/>
      <c r="M79" s="10"/>
      <c r="N79" s="10"/>
      <c r="O79" s="10"/>
      <c r="P79" s="10"/>
      <c r="Q79" s="10"/>
      <c r="R79" s="10"/>
      <c r="S79" s="10"/>
      <c r="T79" s="1"/>
    </row>
    <row r="80" spans="1:20" ht="28.8" customHeight="1" x14ac:dyDescent="0.3">
      <c r="A80" s="59"/>
      <c r="B80" s="60"/>
      <c r="C80" s="10"/>
      <c r="D80" s="61"/>
      <c r="E80" s="10"/>
      <c r="F80" s="61"/>
      <c r="G80" s="10"/>
      <c r="H80" s="62"/>
      <c r="I80" s="62"/>
      <c r="J80" s="62"/>
      <c r="K80" s="10"/>
      <c r="L80" s="10"/>
      <c r="M80" s="10"/>
      <c r="N80" s="10"/>
      <c r="O80" s="10"/>
      <c r="P80" s="10"/>
      <c r="Q80" s="10"/>
      <c r="R80" s="10"/>
      <c r="S80" s="10"/>
      <c r="T80" s="1"/>
    </row>
    <row r="81" spans="1:20" ht="28.8" customHeight="1" x14ac:dyDescent="0.3">
      <c r="A81" s="59"/>
      <c r="B81" s="60"/>
      <c r="C81" s="10"/>
      <c r="D81" s="61"/>
      <c r="E81" s="10"/>
      <c r="F81" s="61"/>
      <c r="G81" s="10"/>
      <c r="H81" s="62"/>
      <c r="I81" s="62"/>
      <c r="J81" s="62"/>
      <c r="K81" s="10"/>
      <c r="L81" s="10"/>
      <c r="M81" s="10"/>
      <c r="N81" s="10"/>
      <c r="O81" s="10"/>
      <c r="P81" s="10"/>
      <c r="Q81" s="10"/>
      <c r="R81" s="10"/>
      <c r="S81" s="10"/>
      <c r="T81" s="1"/>
    </row>
    <row r="82" spans="1:20" ht="28.8" customHeight="1" x14ac:dyDescent="0.3">
      <c r="A82" s="59"/>
      <c r="B82" s="60"/>
      <c r="C82" s="10"/>
      <c r="D82" s="61"/>
      <c r="E82" s="10"/>
      <c r="F82" s="61"/>
      <c r="G82" s="10"/>
      <c r="H82" s="62"/>
      <c r="I82" s="62"/>
      <c r="J82" s="62"/>
      <c r="K82" s="10"/>
      <c r="L82" s="10"/>
      <c r="M82" s="10"/>
      <c r="N82" s="10"/>
      <c r="O82" s="10"/>
      <c r="P82" s="10"/>
      <c r="Q82" s="10"/>
      <c r="R82" s="10"/>
      <c r="S82" s="10"/>
      <c r="T82" s="1"/>
    </row>
    <row r="83" spans="1:20" ht="28.8" customHeight="1" x14ac:dyDescent="0.3">
      <c r="A83" s="59"/>
      <c r="B83" s="60"/>
      <c r="C83" s="10"/>
      <c r="D83" s="61"/>
      <c r="E83" s="10"/>
      <c r="F83" s="61"/>
      <c r="G83" s="10"/>
      <c r="H83" s="62"/>
      <c r="I83" s="62"/>
      <c r="J83" s="62"/>
      <c r="K83" s="10"/>
      <c r="L83" s="10"/>
      <c r="M83" s="10"/>
      <c r="N83" s="10"/>
      <c r="O83" s="10"/>
      <c r="P83" s="10"/>
      <c r="Q83" s="10"/>
      <c r="R83" s="10"/>
      <c r="S83" s="10"/>
      <c r="T83" s="1"/>
    </row>
    <row r="84" spans="1:20" ht="28.8" customHeight="1" x14ac:dyDescent="0.3">
      <c r="A84" s="59"/>
      <c r="B84" s="60"/>
      <c r="C84" s="10"/>
      <c r="D84" s="61"/>
      <c r="E84" s="10"/>
      <c r="F84" s="61"/>
      <c r="G84" s="10"/>
      <c r="H84" s="62"/>
      <c r="I84" s="62"/>
      <c r="J84" s="62"/>
      <c r="K84" s="10"/>
      <c r="L84" s="10"/>
      <c r="M84" s="10"/>
      <c r="N84" s="10"/>
      <c r="O84" s="10"/>
      <c r="P84" s="10"/>
      <c r="Q84" s="10"/>
      <c r="R84" s="10"/>
      <c r="S84" s="10"/>
      <c r="T84" s="1"/>
    </row>
    <row r="85" spans="1:20" ht="28.8" customHeight="1" x14ac:dyDescent="0.3">
      <c r="A85" s="10"/>
      <c r="B85" s="60"/>
      <c r="C85" s="10"/>
      <c r="D85" s="61"/>
      <c r="E85" s="10"/>
      <c r="F85" s="61"/>
      <c r="G85" s="10"/>
      <c r="H85" s="62"/>
      <c r="I85" s="62"/>
      <c r="J85" s="62"/>
      <c r="K85" s="10"/>
      <c r="L85" s="10"/>
      <c r="M85" s="10"/>
      <c r="N85" s="10"/>
      <c r="O85" s="10"/>
      <c r="P85" s="10"/>
      <c r="Q85" s="10"/>
      <c r="R85" s="10"/>
      <c r="S85" s="10"/>
      <c r="T85" s="1"/>
    </row>
    <row r="86" spans="1:20" ht="28.8" customHeight="1" x14ac:dyDescent="0.3">
      <c r="A86" s="10"/>
      <c r="B86" s="60"/>
      <c r="C86" s="10"/>
      <c r="D86" s="61"/>
      <c r="E86" s="10"/>
      <c r="F86" s="61"/>
      <c r="G86" s="10"/>
      <c r="H86" s="62"/>
      <c r="I86" s="62"/>
      <c r="J86" s="62"/>
      <c r="K86" s="10"/>
      <c r="L86" s="10"/>
      <c r="M86" s="10"/>
      <c r="N86" s="10"/>
      <c r="O86" s="10"/>
      <c r="P86" s="10"/>
      <c r="Q86" s="10"/>
      <c r="R86" s="10"/>
      <c r="S86" s="10"/>
      <c r="T86" s="1"/>
    </row>
    <row r="87" spans="1:20" ht="28.8" customHeight="1" x14ac:dyDescent="0.3">
      <c r="A87" s="10"/>
      <c r="B87" s="60"/>
      <c r="C87" s="10"/>
      <c r="D87" s="61"/>
      <c r="E87" s="10"/>
      <c r="F87" s="61"/>
      <c r="G87" s="10"/>
      <c r="H87" s="62"/>
      <c r="I87" s="62"/>
      <c r="J87" s="62"/>
      <c r="K87" s="10"/>
      <c r="L87" s="10"/>
      <c r="M87" s="10"/>
      <c r="N87" s="10"/>
      <c r="O87" s="10"/>
      <c r="P87" s="10"/>
      <c r="Q87" s="10"/>
      <c r="R87" s="10"/>
      <c r="S87" s="10"/>
      <c r="T87" s="1"/>
    </row>
    <row r="88" spans="1:20" ht="28.8" customHeight="1" x14ac:dyDescent="0.3">
      <c r="A88" s="10"/>
      <c r="B88" s="60"/>
      <c r="C88" s="10"/>
      <c r="D88" s="61"/>
      <c r="E88" s="10"/>
      <c r="F88" s="61"/>
      <c r="G88" s="10"/>
      <c r="H88" s="62"/>
      <c r="I88" s="62"/>
      <c r="J88" s="62"/>
      <c r="K88" s="10"/>
      <c r="L88" s="10"/>
      <c r="M88" s="10"/>
      <c r="N88" s="10"/>
      <c r="O88" s="10"/>
      <c r="P88" s="10"/>
      <c r="Q88" s="10"/>
      <c r="R88" s="10"/>
      <c r="S88" s="10"/>
      <c r="T88" s="1"/>
    </row>
    <row r="89" spans="1:20" ht="28.8" customHeight="1" x14ac:dyDescent="0.3">
      <c r="A89" s="10"/>
      <c r="B89" s="6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"/>
    </row>
    <row r="90" spans="1:20" ht="28.8" customHeight="1" x14ac:dyDescent="0.3">
      <c r="A90" s="10"/>
      <c r="B90" s="6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"/>
    </row>
    <row r="91" spans="1:20" ht="28.8" customHeight="1" x14ac:dyDescent="0.3">
      <c r="A91" s="10"/>
      <c r="B91" s="6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"/>
    </row>
    <row r="92" spans="1:20" ht="28.8" customHeight="1" x14ac:dyDescent="0.3">
      <c r="A92" s="10"/>
      <c r="B92" s="6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"/>
    </row>
    <row r="93" spans="1:20" ht="28.8" customHeight="1" x14ac:dyDescent="0.3">
      <c r="A93" s="10"/>
      <c r="B93" s="6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"/>
    </row>
    <row r="94" spans="1:20" ht="28.8" customHeight="1" x14ac:dyDescent="0.3">
      <c r="A94" s="10"/>
      <c r="B94" s="6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"/>
    </row>
    <row r="95" spans="1:20" ht="28.8" customHeight="1" x14ac:dyDescent="0.3">
      <c r="A95" s="10"/>
      <c r="B95" s="6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"/>
    </row>
    <row r="96" spans="1:20" ht="28.8" customHeight="1" x14ac:dyDescent="0.3">
      <c r="A96" s="10"/>
      <c r="B96" s="6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"/>
    </row>
    <row r="97" spans="1:20" ht="28.8" customHeight="1" x14ac:dyDescent="0.3">
      <c r="A97" s="10"/>
      <c r="B97" s="6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"/>
    </row>
    <row r="98" spans="1:20" ht="28.8" customHeight="1" x14ac:dyDescent="0.3">
      <c r="A98" s="10"/>
      <c r="B98" s="6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"/>
    </row>
    <row r="99" spans="1:20" ht="28.8" customHeight="1" x14ac:dyDescent="0.3">
      <c r="A99" s="10"/>
      <c r="B99" s="6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"/>
    </row>
    <row r="100" spans="1:20" ht="28.8" customHeight="1" x14ac:dyDescent="0.3">
      <c r="A100" s="10"/>
      <c r="B100" s="6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"/>
    </row>
  </sheetData>
  <mergeCells count="1">
    <mergeCell ref="N4:Q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AssignPlayer">
          <controlPr defaultSize="0" autoLine="0" r:id="rId5">
            <anchor moveWithCells="1">
              <from>
                <xdr:col>19</xdr:col>
                <xdr:colOff>579120</xdr:colOff>
                <xdr:row>6</xdr:row>
                <xdr:rowOff>243840</xdr:rowOff>
              </from>
              <to>
                <xdr:col>26</xdr:col>
                <xdr:colOff>281940</xdr:colOff>
                <xdr:row>8</xdr:row>
                <xdr:rowOff>99060</xdr:rowOff>
              </to>
            </anchor>
          </controlPr>
        </control>
      </mc:Choice>
      <mc:Fallback>
        <control shapeId="11268" r:id="rId4" name="AssignPlayer"/>
      </mc:Fallback>
    </mc:AlternateContent>
    <mc:AlternateContent xmlns:mc="http://schemas.openxmlformats.org/markup-compatibility/2006">
      <mc:Choice Requires="x14">
        <control shapeId="11266" r:id="rId6" name="ExitButton">
          <controlPr defaultSize="0" autoLine="0" r:id="rId7">
            <anchor moveWithCells="1">
              <from>
                <xdr:col>18</xdr:col>
                <xdr:colOff>525780</xdr:colOff>
                <xdr:row>0</xdr:row>
                <xdr:rowOff>114300</xdr:rowOff>
              </from>
              <to>
                <xdr:col>19</xdr:col>
                <xdr:colOff>7620</xdr:colOff>
                <xdr:row>3</xdr:row>
                <xdr:rowOff>83820</xdr:rowOff>
              </to>
            </anchor>
          </controlPr>
        </control>
      </mc:Choice>
      <mc:Fallback>
        <control shapeId="11266" r:id="rId6" name="ExitButton"/>
      </mc:Fallback>
    </mc:AlternateContent>
    <mc:AlternateContent xmlns:mc="http://schemas.openxmlformats.org/markup-compatibility/2006">
      <mc:Choice Requires="x14">
        <control shapeId="11265" r:id="rId8" name="ManagerMainPage">
          <controlPr defaultSize="0" autoLine="0" autoPict="0" r:id="rId9">
            <anchor moveWithCells="1">
              <from>
                <xdr:col>20</xdr:col>
                <xdr:colOff>0</xdr:colOff>
                <xdr:row>4</xdr:row>
                <xdr:rowOff>182880</xdr:rowOff>
              </from>
              <to>
                <xdr:col>25</xdr:col>
                <xdr:colOff>45720</xdr:colOff>
                <xdr:row>5</xdr:row>
                <xdr:rowOff>320040</xdr:rowOff>
              </to>
            </anchor>
          </controlPr>
        </control>
      </mc:Choice>
      <mc:Fallback>
        <control shapeId="11265" r:id="rId8" name="ManagerMainPag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B05D-894E-4B26-8E63-A5449113EE3E}">
  <sheetPr codeName="Sheet6"/>
  <dimension ref="A4:AJ100"/>
  <sheetViews>
    <sheetView zoomScale="60" zoomScaleNormal="60" zoomScaleSheetLayoutView="50" workbookViewId="0">
      <selection activeCell="L18" sqref="L18"/>
    </sheetView>
  </sheetViews>
  <sheetFormatPr defaultColWidth="8.6640625" defaultRowHeight="23.4" x14ac:dyDescent="0.45"/>
  <cols>
    <col min="1" max="1" width="7.109375" style="2" customWidth="1"/>
    <col min="2" max="2" width="25" style="2" customWidth="1"/>
    <col min="3" max="3" width="17.21875" style="2" customWidth="1"/>
    <col min="4" max="4" width="21.6640625" style="2" customWidth="1"/>
    <col min="5" max="5" width="9.77734375" style="2" customWidth="1"/>
    <col min="6" max="6" width="17.33203125" style="2" customWidth="1"/>
    <col min="7" max="7" width="12" style="2" customWidth="1"/>
    <col min="8" max="8" width="22.77734375" style="2" customWidth="1"/>
    <col min="9" max="9" width="13.5546875" style="2" customWidth="1"/>
    <col min="10" max="10" width="16.44140625" style="2" customWidth="1"/>
    <col min="11" max="11" width="16.6640625" style="2" customWidth="1"/>
    <col min="12" max="12" width="15.77734375" style="2" customWidth="1"/>
    <col min="13" max="13" width="14.5546875" style="2" customWidth="1"/>
    <col min="14" max="14" width="17.33203125" style="2" customWidth="1"/>
    <col min="15" max="15" width="23.109375" style="2" customWidth="1"/>
    <col min="16" max="16" width="24.77734375" style="2" customWidth="1"/>
    <col min="17" max="17" width="19" style="2" customWidth="1"/>
    <col min="18" max="18" width="18.21875" style="2" customWidth="1"/>
    <col min="19" max="19" width="24.77734375" style="2" customWidth="1"/>
    <col min="20" max="20" width="23.44140625" style="2" customWidth="1"/>
    <col min="21" max="21" width="37.44140625" style="2" customWidth="1"/>
    <col min="22" max="22" width="25" style="3" customWidth="1"/>
    <col min="23" max="23" width="24.88671875" style="3" bestFit="1" customWidth="1"/>
    <col min="24" max="24" width="10.6640625" style="2" customWidth="1"/>
    <col min="25" max="25" width="15.109375" style="2" customWidth="1"/>
    <col min="26" max="26" width="75" style="2" customWidth="1"/>
    <col min="27" max="27" width="34.5546875" style="2" customWidth="1"/>
    <col min="28" max="28" width="29.6640625" style="2" customWidth="1"/>
    <col min="29" max="30" width="17.88671875" style="2" customWidth="1"/>
    <col min="31" max="31" width="25.21875" style="2" customWidth="1"/>
    <col min="32" max="32" width="25.6640625" style="2" customWidth="1"/>
    <col min="33" max="33" width="35.88671875" style="71" customWidth="1"/>
    <col min="34" max="34" width="33.109375" style="71" customWidth="1"/>
    <col min="35" max="35" width="41.5546875" style="71" customWidth="1"/>
    <col min="36" max="36" width="75.33203125" style="71" customWidth="1"/>
    <col min="37" max="37" width="50" style="2" bestFit="1" customWidth="1"/>
    <col min="38" max="53" width="8.6640625" style="2"/>
    <col min="54" max="54" width="17.109375" style="2" customWidth="1"/>
    <col min="55" max="55" width="23.5546875" style="2" customWidth="1"/>
    <col min="56" max="16384" width="8.6640625" style="2"/>
  </cols>
  <sheetData>
    <row r="4" spans="1:36" ht="24" thickBot="1" x14ac:dyDescent="0.5">
      <c r="N4" s="98" t="s">
        <v>120</v>
      </c>
      <c r="O4" s="99"/>
      <c r="P4" s="99"/>
      <c r="Q4" s="100"/>
    </row>
    <row r="5" spans="1:36" ht="46.2" customHeight="1" thickBot="1" x14ac:dyDescent="0.5">
      <c r="A5" s="46" t="s">
        <v>0</v>
      </c>
      <c r="B5" s="46" t="s">
        <v>1</v>
      </c>
      <c r="C5" s="46" t="s">
        <v>51</v>
      </c>
      <c r="D5" s="46" t="s">
        <v>2</v>
      </c>
      <c r="E5" s="46" t="s">
        <v>31</v>
      </c>
      <c r="F5" s="46" t="s">
        <v>7</v>
      </c>
      <c r="G5" s="46" t="s">
        <v>3</v>
      </c>
      <c r="H5" s="46" t="s">
        <v>4</v>
      </c>
      <c r="I5" s="46" t="s">
        <v>8</v>
      </c>
      <c r="J5" s="46" t="s">
        <v>6</v>
      </c>
      <c r="K5" s="46" t="s">
        <v>5</v>
      </c>
      <c r="L5" s="46" t="s">
        <v>113</v>
      </c>
      <c r="M5" s="46" t="s">
        <v>50</v>
      </c>
      <c r="N5" s="46" t="s">
        <v>34</v>
      </c>
      <c r="O5" s="46" t="s">
        <v>52</v>
      </c>
      <c r="P5" s="46" t="s">
        <v>48</v>
      </c>
      <c r="Q5" s="46" t="s">
        <v>53</v>
      </c>
      <c r="R5" s="46" t="s">
        <v>56</v>
      </c>
      <c r="S5" s="46" t="s">
        <v>17</v>
      </c>
      <c r="T5" s="47" t="s">
        <v>55</v>
      </c>
      <c r="U5" s="47" t="s">
        <v>124</v>
      </c>
      <c r="V5" s="48" t="s">
        <v>22</v>
      </c>
      <c r="W5" s="48" t="s">
        <v>23</v>
      </c>
      <c r="X5" s="1"/>
      <c r="Y5" s="54" t="s">
        <v>55</v>
      </c>
      <c r="Z5" s="55" t="s">
        <v>56</v>
      </c>
      <c r="AA5" s="88" t="s">
        <v>124</v>
      </c>
      <c r="AB5" s="71"/>
      <c r="AG5" s="2"/>
      <c r="AH5" s="2"/>
      <c r="AI5" s="2"/>
      <c r="AJ5" s="2"/>
    </row>
    <row r="6" spans="1:36" x14ac:dyDescent="0.45">
      <c r="A6" s="59">
        <v>1</v>
      </c>
      <c r="B6" s="60" t="s">
        <v>126</v>
      </c>
      <c r="C6" s="10">
        <v>277170</v>
      </c>
      <c r="D6" s="61">
        <v>221070310</v>
      </c>
      <c r="E6" s="10">
        <v>22</v>
      </c>
      <c r="F6" s="61" t="s">
        <v>81</v>
      </c>
      <c r="G6" s="10" t="s">
        <v>18</v>
      </c>
      <c r="H6" s="62">
        <v>162216057</v>
      </c>
      <c r="I6" s="62" t="s">
        <v>74</v>
      </c>
      <c r="J6" s="62" t="s">
        <v>85</v>
      </c>
      <c r="K6" s="10" t="s">
        <v>88</v>
      </c>
      <c r="L6" s="10">
        <v>170</v>
      </c>
      <c r="M6" s="10" t="s">
        <v>40</v>
      </c>
      <c r="N6" s="10">
        <v>5</v>
      </c>
      <c r="O6" s="10">
        <v>5</v>
      </c>
      <c r="P6" s="10">
        <v>5</v>
      </c>
      <c r="Q6" s="10">
        <v>5</v>
      </c>
      <c r="R6" s="10">
        <v>60</v>
      </c>
      <c r="S6" s="87">
        <v>45079.7503125</v>
      </c>
      <c r="T6" s="86" t="str">
        <f>IF(C6&lt;&gt;"",IF(R6&gt;=50,"A",IF(AND(R6&lt;50,R6&gt;=35),"B",IF(AND(R6&lt;35,R6&gt;=20),"C",IF(AND(R6&lt;20,R6&gt;=10),"D","F")))),"")</f>
        <v>A</v>
      </c>
      <c r="U6" s="86">
        <f>IF(C6&lt;&gt;"",SUM(N6:Q6),"")</f>
        <v>20</v>
      </c>
      <c r="V6" s="87" t="s">
        <v>105</v>
      </c>
      <c r="W6" s="87">
        <v>45079.750439814816</v>
      </c>
      <c r="Y6" s="56" t="s">
        <v>58</v>
      </c>
      <c r="Z6" s="63" t="s">
        <v>70</v>
      </c>
      <c r="AA6" s="56">
        <v>20</v>
      </c>
      <c r="AB6" s="71"/>
      <c r="AG6" s="2"/>
      <c r="AH6" s="2"/>
      <c r="AI6" s="2"/>
      <c r="AJ6" s="2"/>
    </row>
    <row r="7" spans="1:36" x14ac:dyDescent="0.45">
      <c r="A7" s="59">
        <v>2</v>
      </c>
      <c r="B7" s="60" t="s">
        <v>127</v>
      </c>
      <c r="C7" s="10">
        <v>277851</v>
      </c>
      <c r="D7" s="61">
        <v>509071122</v>
      </c>
      <c r="E7" s="10">
        <v>22</v>
      </c>
      <c r="F7" s="61" t="s">
        <v>81</v>
      </c>
      <c r="G7" s="10" t="s">
        <v>18</v>
      </c>
      <c r="H7" s="62">
        <v>1155836900</v>
      </c>
      <c r="I7" s="62" t="s">
        <v>74</v>
      </c>
      <c r="J7" s="62" t="s">
        <v>85</v>
      </c>
      <c r="K7" s="10" t="s">
        <v>88</v>
      </c>
      <c r="L7" s="10">
        <v>160</v>
      </c>
      <c r="M7" s="10" t="s">
        <v>41</v>
      </c>
      <c r="N7" s="10">
        <v>5</v>
      </c>
      <c r="O7" s="10">
        <v>5</v>
      </c>
      <c r="P7" s="10">
        <v>5</v>
      </c>
      <c r="Q7" s="10">
        <v>5</v>
      </c>
      <c r="R7" s="10">
        <v>55</v>
      </c>
      <c r="S7" s="87">
        <v>45079.751261574071</v>
      </c>
      <c r="T7" s="86" t="str">
        <f t="shared" ref="T7:T70" si="0">IF(C7&lt;&gt;"",IF(R7&gt;=50,"A",IF(AND(R7&lt;50,R7&gt;=35),"B",IF(AND(R7&lt;35,R7&gt;=20),"C",IF(AND(R7&lt;20,R7&gt;=10),"D","F")))),"")</f>
        <v>A</v>
      </c>
      <c r="U7" s="86">
        <f t="shared" ref="U7:U70" si="1">IF(C7&lt;&gt;"",SUM(N7:Q7),"")</f>
        <v>20</v>
      </c>
      <c r="V7" s="10" t="s">
        <v>105</v>
      </c>
      <c r="W7" s="87">
        <v>45079.75136574074</v>
      </c>
      <c r="Y7" s="4" t="s">
        <v>59</v>
      </c>
      <c r="Z7" s="65" t="s">
        <v>117</v>
      </c>
      <c r="AA7" s="89" t="s">
        <v>121</v>
      </c>
      <c r="AB7" s="71"/>
      <c r="AG7" s="2"/>
      <c r="AH7" s="2"/>
      <c r="AI7" s="2"/>
      <c r="AJ7" s="2"/>
    </row>
    <row r="8" spans="1:36" x14ac:dyDescent="0.45">
      <c r="A8" s="59">
        <v>3</v>
      </c>
      <c r="B8" s="60" t="s">
        <v>129</v>
      </c>
      <c r="C8" s="10">
        <v>286000</v>
      </c>
      <c r="D8" s="61">
        <v>10101076566</v>
      </c>
      <c r="E8" s="10">
        <v>21</v>
      </c>
      <c r="F8" s="61" t="s">
        <v>81</v>
      </c>
      <c r="G8" s="10" t="s">
        <v>18</v>
      </c>
      <c r="H8" s="62">
        <v>126030716</v>
      </c>
      <c r="I8" s="62" t="s">
        <v>74</v>
      </c>
      <c r="J8" s="62" t="s">
        <v>85</v>
      </c>
      <c r="K8" s="10" t="s">
        <v>92</v>
      </c>
      <c r="L8" s="10">
        <v>157</v>
      </c>
      <c r="M8" s="10" t="s">
        <v>41</v>
      </c>
      <c r="N8" s="10">
        <v>5</v>
      </c>
      <c r="O8" s="10">
        <v>5</v>
      </c>
      <c r="P8" s="10">
        <v>5</v>
      </c>
      <c r="Q8" s="10">
        <v>5</v>
      </c>
      <c r="R8" s="10">
        <v>52</v>
      </c>
      <c r="S8" s="87">
        <v>45079.752303240741</v>
      </c>
      <c r="T8" s="86" t="str">
        <f t="shared" si="0"/>
        <v>A</v>
      </c>
      <c r="U8" s="86">
        <f t="shared" si="1"/>
        <v>20</v>
      </c>
      <c r="V8" s="10" t="s">
        <v>105</v>
      </c>
      <c r="W8" s="87">
        <v>45079.75240740741</v>
      </c>
      <c r="Y8" s="4" t="s">
        <v>60</v>
      </c>
      <c r="Z8" s="64" t="s">
        <v>71</v>
      </c>
      <c r="AA8" s="90" t="s">
        <v>122</v>
      </c>
      <c r="AB8" s="71"/>
      <c r="AG8" s="2"/>
      <c r="AH8" s="2"/>
      <c r="AI8" s="2"/>
      <c r="AJ8" s="2"/>
    </row>
    <row r="9" spans="1:36" x14ac:dyDescent="0.45">
      <c r="A9" s="59">
        <v>4</v>
      </c>
      <c r="B9" s="60" t="s">
        <v>130</v>
      </c>
      <c r="C9" s="10">
        <v>283165</v>
      </c>
      <c r="D9" s="61">
        <v>826075832</v>
      </c>
      <c r="E9" s="10">
        <v>22</v>
      </c>
      <c r="F9" s="61" t="s">
        <v>81</v>
      </c>
      <c r="G9" s="10" t="s">
        <v>18</v>
      </c>
      <c r="H9" s="62">
        <v>123466789</v>
      </c>
      <c r="I9" s="62" t="s">
        <v>74</v>
      </c>
      <c r="J9" s="62" t="s">
        <v>85</v>
      </c>
      <c r="K9" s="10" t="s">
        <v>89</v>
      </c>
      <c r="L9" s="10">
        <v>168</v>
      </c>
      <c r="M9" s="10" t="s">
        <v>40</v>
      </c>
      <c r="N9" s="10">
        <v>5</v>
      </c>
      <c r="O9" s="10">
        <v>5</v>
      </c>
      <c r="P9" s="10">
        <v>5</v>
      </c>
      <c r="Q9" s="10">
        <v>5</v>
      </c>
      <c r="R9" s="10">
        <v>68</v>
      </c>
      <c r="S9" s="87">
        <v>45079.75335648148</v>
      </c>
      <c r="T9" s="86" t="str">
        <f t="shared" si="0"/>
        <v>A</v>
      </c>
      <c r="U9" s="86">
        <f t="shared" si="1"/>
        <v>20</v>
      </c>
      <c r="V9" s="10" t="s">
        <v>105</v>
      </c>
      <c r="W9" s="87">
        <v>45079.753483796296</v>
      </c>
      <c r="Y9" s="4" t="s">
        <v>61</v>
      </c>
      <c r="Z9" s="66" t="s">
        <v>116</v>
      </c>
      <c r="AA9" s="90" t="s">
        <v>123</v>
      </c>
      <c r="AB9" s="71"/>
      <c r="AG9" s="2"/>
      <c r="AH9" s="2"/>
      <c r="AI9" s="2"/>
      <c r="AJ9" s="2"/>
    </row>
    <row r="10" spans="1:36" ht="24" thickBot="1" x14ac:dyDescent="0.5">
      <c r="A10" s="59">
        <v>5</v>
      </c>
      <c r="B10" s="60" t="s">
        <v>131</v>
      </c>
      <c r="C10" s="10">
        <v>281732</v>
      </c>
      <c r="D10" s="61">
        <v>726070514</v>
      </c>
      <c r="E10" s="10">
        <v>22</v>
      </c>
      <c r="F10" s="61" t="s">
        <v>81</v>
      </c>
      <c r="G10" s="10" t="s">
        <v>18</v>
      </c>
      <c r="H10" s="62">
        <v>187566544</v>
      </c>
      <c r="I10" s="62" t="s">
        <v>74</v>
      </c>
      <c r="J10" s="62" t="s">
        <v>85</v>
      </c>
      <c r="K10" s="10" t="s">
        <v>98</v>
      </c>
      <c r="L10" s="10">
        <v>165</v>
      </c>
      <c r="M10" s="10" t="s">
        <v>40</v>
      </c>
      <c r="N10" s="10">
        <v>5</v>
      </c>
      <c r="O10" s="10">
        <v>5</v>
      </c>
      <c r="P10" s="10">
        <v>5</v>
      </c>
      <c r="Q10" s="10">
        <v>5</v>
      </c>
      <c r="R10" s="10">
        <v>80</v>
      </c>
      <c r="S10" s="87">
        <v>45079.754490740743</v>
      </c>
      <c r="T10" s="86" t="str">
        <f t="shared" si="0"/>
        <v>A</v>
      </c>
      <c r="U10" s="86">
        <f t="shared" si="1"/>
        <v>20</v>
      </c>
      <c r="V10" s="10" t="s">
        <v>105</v>
      </c>
      <c r="W10" s="87">
        <v>45079.754884259259</v>
      </c>
      <c r="Y10" s="5" t="s">
        <v>62</v>
      </c>
      <c r="Z10" s="67" t="s">
        <v>115</v>
      </c>
      <c r="AA10" s="91" t="s">
        <v>119</v>
      </c>
      <c r="AB10" s="71"/>
      <c r="AG10" s="2"/>
      <c r="AH10" s="2"/>
      <c r="AI10" s="2"/>
      <c r="AJ10" s="2"/>
    </row>
    <row r="11" spans="1:36" x14ac:dyDescent="0.45">
      <c r="A11" s="59">
        <v>6</v>
      </c>
      <c r="B11" s="60" t="s">
        <v>128</v>
      </c>
      <c r="C11" s="10">
        <v>279017</v>
      </c>
      <c r="D11" s="61">
        <v>613148855</v>
      </c>
      <c r="E11" s="10">
        <v>22</v>
      </c>
      <c r="F11" s="61" t="s">
        <v>81</v>
      </c>
      <c r="G11" s="10" t="s">
        <v>78</v>
      </c>
      <c r="H11" s="62" t="s">
        <v>132</v>
      </c>
      <c r="I11" s="62" t="s">
        <v>74</v>
      </c>
      <c r="J11" s="62" t="s">
        <v>85</v>
      </c>
      <c r="K11" s="10" t="s">
        <v>93</v>
      </c>
      <c r="L11" s="10">
        <v>177</v>
      </c>
      <c r="M11" s="10" t="s">
        <v>40</v>
      </c>
      <c r="N11" s="10">
        <v>4</v>
      </c>
      <c r="O11" s="10">
        <v>4</v>
      </c>
      <c r="P11" s="10">
        <v>4</v>
      </c>
      <c r="Q11" s="10">
        <v>5</v>
      </c>
      <c r="R11" s="10">
        <v>45</v>
      </c>
      <c r="S11" s="87">
        <v>45079.757638888892</v>
      </c>
      <c r="T11" s="86" t="str">
        <f t="shared" si="0"/>
        <v>B</v>
      </c>
      <c r="U11" s="86">
        <v>17</v>
      </c>
      <c r="V11" s="10" t="s">
        <v>106</v>
      </c>
      <c r="W11" s="87">
        <v>45079.758425925924</v>
      </c>
      <c r="AB11" s="71"/>
      <c r="AC11" s="71"/>
      <c r="AD11" s="71"/>
      <c r="AG11" s="2"/>
      <c r="AH11" s="2"/>
      <c r="AI11" s="2"/>
      <c r="AJ11" s="2"/>
    </row>
    <row r="12" spans="1:36" ht="24" thickBot="1" x14ac:dyDescent="0.5">
      <c r="A12" s="59">
        <v>7</v>
      </c>
      <c r="B12" s="60" t="s">
        <v>133</v>
      </c>
      <c r="C12" s="10">
        <v>276433</v>
      </c>
      <c r="D12" s="61">
        <v>517074356</v>
      </c>
      <c r="E12" s="10">
        <v>22</v>
      </c>
      <c r="F12" s="61" t="s">
        <v>81</v>
      </c>
      <c r="G12" s="10" t="s">
        <v>18</v>
      </c>
      <c r="H12" s="62">
        <v>198788653</v>
      </c>
      <c r="I12" s="62" t="s">
        <v>74</v>
      </c>
      <c r="J12" s="62" t="s">
        <v>85</v>
      </c>
      <c r="K12" s="10" t="s">
        <v>96</v>
      </c>
      <c r="L12" s="10">
        <v>163</v>
      </c>
      <c r="M12" s="10" t="s">
        <v>40</v>
      </c>
      <c r="N12" s="10">
        <v>4</v>
      </c>
      <c r="O12" s="10">
        <v>3</v>
      </c>
      <c r="P12" s="10">
        <v>3</v>
      </c>
      <c r="Q12" s="10">
        <v>2</v>
      </c>
      <c r="R12" s="10">
        <v>30</v>
      </c>
      <c r="S12" s="87">
        <v>45079.771701388891</v>
      </c>
      <c r="T12" s="86" t="str">
        <f t="shared" si="0"/>
        <v>C</v>
      </c>
      <c r="U12" s="86">
        <f t="shared" si="1"/>
        <v>12</v>
      </c>
      <c r="V12" s="10" t="s">
        <v>106</v>
      </c>
      <c r="W12" s="87">
        <v>45079.771909722222</v>
      </c>
      <c r="AB12" s="71"/>
      <c r="AC12" s="71"/>
      <c r="AD12" s="71"/>
      <c r="AG12" s="2"/>
      <c r="AH12" s="2"/>
      <c r="AI12" s="2"/>
      <c r="AJ12" s="2"/>
    </row>
    <row r="13" spans="1:36" ht="24" thickBot="1" x14ac:dyDescent="0.5">
      <c r="A13" s="59">
        <v>8</v>
      </c>
      <c r="B13" s="60" t="s">
        <v>139</v>
      </c>
      <c r="C13" s="10">
        <v>233754</v>
      </c>
      <c r="D13" s="61">
        <v>314075413</v>
      </c>
      <c r="E13" s="10">
        <v>23</v>
      </c>
      <c r="F13" s="61" t="s">
        <v>81</v>
      </c>
      <c r="G13" s="10" t="s">
        <v>78</v>
      </c>
      <c r="H13" s="62">
        <v>175784045</v>
      </c>
      <c r="I13" s="62" t="s">
        <v>74</v>
      </c>
      <c r="J13" s="62" t="s">
        <v>85</v>
      </c>
      <c r="K13" s="10" t="s">
        <v>88</v>
      </c>
      <c r="L13" s="10">
        <v>174</v>
      </c>
      <c r="M13" s="10" t="s">
        <v>41</v>
      </c>
      <c r="N13" s="10">
        <v>5</v>
      </c>
      <c r="O13" s="10">
        <v>4</v>
      </c>
      <c r="P13" s="10">
        <v>4</v>
      </c>
      <c r="Q13" s="10">
        <v>5</v>
      </c>
      <c r="R13" s="10">
        <v>20</v>
      </c>
      <c r="S13" s="87">
        <v>45027.284895833334</v>
      </c>
      <c r="T13" s="86" t="str">
        <f t="shared" si="0"/>
        <v>C</v>
      </c>
      <c r="U13" s="86">
        <f t="shared" si="1"/>
        <v>18</v>
      </c>
      <c r="V13" s="10" t="s">
        <v>106</v>
      </c>
      <c r="W13" s="87">
        <v>45027.286076388889</v>
      </c>
      <c r="Y13" s="6" t="s">
        <v>22</v>
      </c>
      <c r="Z13" s="6" t="s">
        <v>103</v>
      </c>
      <c r="AB13" s="71"/>
      <c r="AC13" s="71"/>
      <c r="AD13" s="71"/>
      <c r="AG13" s="2"/>
      <c r="AH13" s="2"/>
      <c r="AI13" s="2"/>
      <c r="AJ13" s="2"/>
    </row>
    <row r="14" spans="1:36" x14ac:dyDescent="0.45">
      <c r="A14" s="59"/>
      <c r="B14" s="60"/>
      <c r="C14" s="10"/>
      <c r="D14" s="61"/>
      <c r="E14" s="10"/>
      <c r="F14" s="61"/>
      <c r="G14" s="10"/>
      <c r="H14" s="62"/>
      <c r="I14" s="62"/>
      <c r="J14" s="62"/>
      <c r="K14" s="10"/>
      <c r="L14" s="10"/>
      <c r="M14" s="10"/>
      <c r="N14" s="10"/>
      <c r="O14" s="10"/>
      <c r="P14" s="10"/>
      <c r="Q14" s="10"/>
      <c r="R14" s="10"/>
      <c r="S14" s="10"/>
      <c r="T14" s="86" t="str">
        <f t="shared" si="0"/>
        <v/>
      </c>
      <c r="U14" s="86" t="str">
        <f t="shared" si="1"/>
        <v/>
      </c>
      <c r="V14" s="10"/>
      <c r="W14" s="10"/>
      <c r="Y14" s="4" t="s">
        <v>105</v>
      </c>
      <c r="Z14" s="4" t="s">
        <v>20</v>
      </c>
      <c r="AB14" s="71"/>
      <c r="AC14" s="71"/>
      <c r="AD14" s="71"/>
      <c r="AG14" s="2"/>
      <c r="AH14" s="2"/>
      <c r="AI14" s="2"/>
      <c r="AJ14" s="2"/>
    </row>
    <row r="15" spans="1:36" ht="24" thickBot="1" x14ac:dyDescent="0.5">
      <c r="A15" s="59"/>
      <c r="B15" s="60"/>
      <c r="C15" s="10"/>
      <c r="D15" s="61"/>
      <c r="E15" s="10"/>
      <c r="F15" s="61"/>
      <c r="G15" s="10"/>
      <c r="H15" s="62"/>
      <c r="I15" s="62"/>
      <c r="J15" s="62"/>
      <c r="K15" s="10"/>
      <c r="L15" s="10"/>
      <c r="M15" s="10"/>
      <c r="N15" s="10"/>
      <c r="O15" s="10"/>
      <c r="P15" s="10"/>
      <c r="Q15" s="10"/>
      <c r="R15" s="10"/>
      <c r="S15" s="10"/>
      <c r="T15" s="86" t="str">
        <f t="shared" si="0"/>
        <v/>
      </c>
      <c r="U15" s="86" t="str">
        <f t="shared" si="1"/>
        <v/>
      </c>
      <c r="V15" s="10"/>
      <c r="W15" s="10"/>
      <c r="Y15" s="5" t="s">
        <v>106</v>
      </c>
      <c r="Z15" s="5" t="s">
        <v>0</v>
      </c>
      <c r="AB15" s="71"/>
      <c r="AC15" s="71"/>
      <c r="AD15" s="71"/>
      <c r="AG15" s="2"/>
      <c r="AH15" s="2"/>
      <c r="AI15" s="2"/>
      <c r="AJ15" s="2"/>
    </row>
    <row r="16" spans="1:36" x14ac:dyDescent="0.45">
      <c r="A16" s="59"/>
      <c r="B16" s="60"/>
      <c r="C16" s="10"/>
      <c r="D16" s="61"/>
      <c r="E16" s="10"/>
      <c r="F16" s="61"/>
      <c r="G16" s="10"/>
      <c r="H16" s="62"/>
      <c r="I16" s="62"/>
      <c r="J16" s="62"/>
      <c r="K16" s="10"/>
      <c r="L16" s="10"/>
      <c r="M16" s="10"/>
      <c r="N16" s="10"/>
      <c r="O16" s="10"/>
      <c r="P16" s="10"/>
      <c r="Q16" s="10"/>
      <c r="R16" s="10"/>
      <c r="S16" s="10"/>
      <c r="T16" s="86" t="str">
        <f t="shared" si="0"/>
        <v/>
      </c>
      <c r="U16" s="86" t="str">
        <f t="shared" si="1"/>
        <v/>
      </c>
      <c r="V16" s="10"/>
      <c r="W16" s="10"/>
      <c r="AB16" s="71"/>
      <c r="AC16" s="71"/>
      <c r="AD16" s="71"/>
      <c r="AG16" s="2"/>
      <c r="AH16" s="2"/>
      <c r="AI16" s="2"/>
      <c r="AJ16" s="2"/>
    </row>
    <row r="17" spans="1:36" x14ac:dyDescent="0.45">
      <c r="A17" s="59"/>
      <c r="B17" s="60"/>
      <c r="C17" s="10"/>
      <c r="D17" s="61"/>
      <c r="E17" s="10"/>
      <c r="F17" s="61"/>
      <c r="G17" s="10"/>
      <c r="H17" s="62"/>
      <c r="I17" s="62"/>
      <c r="J17" s="62"/>
      <c r="K17" s="10"/>
      <c r="L17" s="10"/>
      <c r="M17" s="10"/>
      <c r="N17" s="10"/>
      <c r="O17" s="10"/>
      <c r="P17" s="10"/>
      <c r="Q17" s="10"/>
      <c r="R17" s="10"/>
      <c r="S17" s="10"/>
      <c r="T17" s="86" t="str">
        <f t="shared" si="0"/>
        <v/>
      </c>
      <c r="U17" s="86" t="str">
        <f t="shared" si="1"/>
        <v/>
      </c>
      <c r="V17" s="10"/>
      <c r="W17" s="10"/>
      <c r="AB17" s="71"/>
      <c r="AC17" s="71"/>
      <c r="AD17" s="71"/>
      <c r="AG17" s="2"/>
      <c r="AH17" s="2"/>
      <c r="AI17" s="2"/>
      <c r="AJ17" s="2"/>
    </row>
    <row r="18" spans="1:36" x14ac:dyDescent="0.45">
      <c r="A18" s="59"/>
      <c r="B18" s="60"/>
      <c r="C18" s="10"/>
      <c r="D18" s="61"/>
      <c r="E18" s="10"/>
      <c r="F18" s="61"/>
      <c r="G18" s="10"/>
      <c r="H18" s="62"/>
      <c r="I18" s="62"/>
      <c r="J18" s="62"/>
      <c r="K18" s="10"/>
      <c r="L18" s="10"/>
      <c r="M18" s="10"/>
      <c r="N18" s="10"/>
      <c r="O18" s="10"/>
      <c r="P18" s="10"/>
      <c r="Q18" s="10"/>
      <c r="R18" s="10"/>
      <c r="S18" s="10"/>
      <c r="T18" s="86" t="str">
        <f t="shared" si="0"/>
        <v/>
      </c>
      <c r="U18" s="86" t="str">
        <f t="shared" si="1"/>
        <v/>
      </c>
      <c r="V18" s="10"/>
      <c r="W18" s="10"/>
      <c r="AB18" s="71"/>
      <c r="AC18" s="71"/>
      <c r="AD18" s="71"/>
      <c r="AG18" s="2"/>
      <c r="AH18" s="2"/>
      <c r="AI18" s="2"/>
      <c r="AJ18" s="2"/>
    </row>
    <row r="19" spans="1:36" x14ac:dyDescent="0.45">
      <c r="A19" s="59"/>
      <c r="B19" s="60"/>
      <c r="C19" s="10"/>
      <c r="D19" s="61"/>
      <c r="E19" s="10"/>
      <c r="F19" s="61"/>
      <c r="G19" s="10"/>
      <c r="H19" s="62"/>
      <c r="I19" s="62"/>
      <c r="J19" s="62"/>
      <c r="K19" s="10"/>
      <c r="L19" s="10"/>
      <c r="M19" s="10"/>
      <c r="N19" s="10"/>
      <c r="O19" s="10"/>
      <c r="P19" s="10"/>
      <c r="Q19" s="10"/>
      <c r="R19" s="10"/>
      <c r="S19" s="10"/>
      <c r="T19" s="86" t="str">
        <f t="shared" si="0"/>
        <v/>
      </c>
      <c r="U19" s="86" t="str">
        <f t="shared" si="1"/>
        <v/>
      </c>
      <c r="V19" s="10"/>
      <c r="W19" s="10"/>
      <c r="Z19" s="14"/>
      <c r="AB19" s="71"/>
      <c r="AC19" s="71"/>
      <c r="AD19" s="71"/>
      <c r="AG19" s="2"/>
      <c r="AH19" s="2"/>
      <c r="AI19" s="2"/>
      <c r="AJ19" s="2"/>
    </row>
    <row r="20" spans="1:36" x14ac:dyDescent="0.45">
      <c r="A20" s="59"/>
      <c r="B20" s="60"/>
      <c r="C20" s="10"/>
      <c r="D20" s="61"/>
      <c r="E20" s="10"/>
      <c r="F20" s="61"/>
      <c r="G20" s="10"/>
      <c r="H20" s="62"/>
      <c r="I20" s="62"/>
      <c r="J20" s="62"/>
      <c r="K20" s="10"/>
      <c r="L20" s="10"/>
      <c r="M20" s="10"/>
      <c r="N20" s="10"/>
      <c r="O20" s="10"/>
      <c r="P20" s="10"/>
      <c r="Q20" s="10"/>
      <c r="R20" s="10"/>
      <c r="S20" s="10"/>
      <c r="T20" s="86" t="str">
        <f t="shared" si="0"/>
        <v/>
      </c>
      <c r="U20" s="86" t="str">
        <f t="shared" si="1"/>
        <v/>
      </c>
      <c r="V20" s="10"/>
      <c r="W20" s="10"/>
    </row>
    <row r="21" spans="1:36" x14ac:dyDescent="0.45">
      <c r="A21" s="59"/>
      <c r="B21" s="60"/>
      <c r="C21" s="10"/>
      <c r="D21" s="61"/>
      <c r="E21" s="10"/>
      <c r="F21" s="61"/>
      <c r="G21" s="10"/>
      <c r="H21" s="62"/>
      <c r="I21" s="62"/>
      <c r="J21" s="62"/>
      <c r="K21" s="10"/>
      <c r="L21" s="10"/>
      <c r="M21" s="10"/>
      <c r="N21" s="10"/>
      <c r="O21" s="10"/>
      <c r="P21" s="10"/>
      <c r="Q21" s="10"/>
      <c r="R21" s="10"/>
      <c r="S21" s="10"/>
      <c r="T21" s="86" t="str">
        <f t="shared" si="0"/>
        <v/>
      </c>
      <c r="U21" s="86" t="str">
        <f t="shared" si="1"/>
        <v/>
      </c>
      <c r="V21" s="10"/>
      <c r="W21" s="10"/>
    </row>
    <row r="22" spans="1:36" x14ac:dyDescent="0.45">
      <c r="A22" s="59"/>
      <c r="B22" s="60"/>
      <c r="C22" s="10"/>
      <c r="D22" s="61"/>
      <c r="E22" s="10"/>
      <c r="F22" s="61"/>
      <c r="G22" s="10"/>
      <c r="H22" s="62"/>
      <c r="I22" s="62"/>
      <c r="J22" s="62"/>
      <c r="K22" s="10"/>
      <c r="L22" s="10"/>
      <c r="M22" s="10"/>
      <c r="N22" s="10"/>
      <c r="O22" s="10"/>
      <c r="P22" s="10"/>
      <c r="Q22" s="10"/>
      <c r="R22" s="10"/>
      <c r="S22" s="10"/>
      <c r="T22" s="86" t="str">
        <f t="shared" si="0"/>
        <v/>
      </c>
      <c r="U22" s="86" t="str">
        <f t="shared" si="1"/>
        <v/>
      </c>
      <c r="V22" s="10"/>
      <c r="W22" s="10"/>
    </row>
    <row r="23" spans="1:36" x14ac:dyDescent="0.45">
      <c r="A23" s="59"/>
      <c r="B23" s="60"/>
      <c r="C23" s="10"/>
      <c r="D23" s="61"/>
      <c r="E23" s="10"/>
      <c r="F23" s="61"/>
      <c r="G23" s="10"/>
      <c r="H23" s="62"/>
      <c r="I23" s="62"/>
      <c r="J23" s="62"/>
      <c r="K23" s="10"/>
      <c r="L23" s="10"/>
      <c r="M23" s="10"/>
      <c r="N23" s="10"/>
      <c r="O23" s="10"/>
      <c r="P23" s="10"/>
      <c r="Q23" s="10"/>
      <c r="R23" s="10"/>
      <c r="S23" s="10"/>
      <c r="T23" s="86" t="str">
        <f t="shared" si="0"/>
        <v/>
      </c>
      <c r="U23" s="86" t="str">
        <f t="shared" si="1"/>
        <v/>
      </c>
      <c r="V23" s="10"/>
      <c r="W23" s="10"/>
    </row>
    <row r="24" spans="1:36" ht="24.6" customHeight="1" x14ac:dyDescent="0.45">
      <c r="A24" s="59"/>
      <c r="B24" s="60"/>
      <c r="C24" s="10"/>
      <c r="D24" s="61"/>
      <c r="E24" s="10"/>
      <c r="F24" s="61"/>
      <c r="G24" s="10"/>
      <c r="H24" s="62"/>
      <c r="I24" s="62"/>
      <c r="J24" s="62"/>
      <c r="K24" s="10"/>
      <c r="L24" s="10"/>
      <c r="M24" s="10"/>
      <c r="N24" s="10"/>
      <c r="O24" s="10"/>
      <c r="P24" s="10"/>
      <c r="Q24" s="10"/>
      <c r="R24" s="10"/>
      <c r="S24" s="10"/>
      <c r="T24" s="86" t="str">
        <f t="shared" si="0"/>
        <v/>
      </c>
      <c r="U24" s="86" t="str">
        <f t="shared" si="1"/>
        <v/>
      </c>
      <c r="V24" s="10"/>
      <c r="W24" s="10"/>
    </row>
    <row r="25" spans="1:36" ht="24.6" customHeight="1" x14ac:dyDescent="0.45">
      <c r="A25" s="59"/>
      <c r="B25" s="60"/>
      <c r="C25" s="10"/>
      <c r="D25" s="61"/>
      <c r="E25" s="10"/>
      <c r="F25" s="61"/>
      <c r="G25" s="10"/>
      <c r="H25" s="62"/>
      <c r="I25" s="62"/>
      <c r="J25" s="62"/>
      <c r="K25" s="10"/>
      <c r="L25" s="10"/>
      <c r="M25" s="10"/>
      <c r="N25" s="10"/>
      <c r="O25" s="10"/>
      <c r="P25" s="10"/>
      <c r="Q25" s="10"/>
      <c r="R25" s="10"/>
      <c r="S25" s="10"/>
      <c r="T25" s="86" t="str">
        <f t="shared" si="0"/>
        <v/>
      </c>
      <c r="U25" s="86" t="str">
        <f t="shared" si="1"/>
        <v/>
      </c>
      <c r="V25" s="10"/>
      <c r="W25" s="10"/>
    </row>
    <row r="26" spans="1:36" ht="24.6" customHeight="1" x14ac:dyDescent="0.45">
      <c r="A26" s="59"/>
      <c r="B26" s="60"/>
      <c r="C26" s="10"/>
      <c r="D26" s="61"/>
      <c r="E26" s="10"/>
      <c r="F26" s="61"/>
      <c r="G26" s="10"/>
      <c r="H26" s="62"/>
      <c r="I26" s="62"/>
      <c r="J26" s="62"/>
      <c r="K26" s="10"/>
      <c r="L26" s="10"/>
      <c r="M26" s="10"/>
      <c r="N26" s="10"/>
      <c r="O26" s="10"/>
      <c r="P26" s="10"/>
      <c r="Q26" s="10"/>
      <c r="R26" s="10"/>
      <c r="S26" s="10"/>
      <c r="T26" s="86" t="str">
        <f t="shared" si="0"/>
        <v/>
      </c>
      <c r="U26" s="86" t="str">
        <f t="shared" si="1"/>
        <v/>
      </c>
      <c r="V26" s="10"/>
      <c r="W26" s="10"/>
      <c r="Z26" s="52" t="s">
        <v>24</v>
      </c>
      <c r="AA26" s="71"/>
      <c r="AB26" s="71"/>
      <c r="AC26" s="71"/>
    </row>
    <row r="27" spans="1:36" ht="24.6" customHeight="1" x14ac:dyDescent="0.45">
      <c r="A27" s="59"/>
      <c r="B27" s="60"/>
      <c r="C27" s="10"/>
      <c r="D27" s="61"/>
      <c r="E27" s="10"/>
      <c r="F27" s="61"/>
      <c r="G27" s="10"/>
      <c r="H27" s="62"/>
      <c r="I27" s="62"/>
      <c r="J27" s="62"/>
      <c r="K27" s="10"/>
      <c r="L27" s="10"/>
      <c r="M27" s="10"/>
      <c r="N27" s="10"/>
      <c r="O27" s="10"/>
      <c r="P27" s="10"/>
      <c r="Q27" s="10"/>
      <c r="R27" s="10"/>
      <c r="S27" s="10"/>
      <c r="T27" s="86" t="str">
        <f t="shared" si="0"/>
        <v/>
      </c>
      <c r="U27" s="86" t="str">
        <f t="shared" si="1"/>
        <v/>
      </c>
      <c r="V27" s="10"/>
      <c r="W27" s="10"/>
      <c r="Z27" s="53" t="s">
        <v>72</v>
      </c>
      <c r="AA27" s="71"/>
      <c r="AB27" s="71"/>
      <c r="AC27" s="71"/>
    </row>
    <row r="28" spans="1:36" ht="24.6" customHeight="1" x14ac:dyDescent="0.45">
      <c r="A28" s="59"/>
      <c r="B28" s="60"/>
      <c r="C28" s="10"/>
      <c r="D28" s="61"/>
      <c r="E28" s="10"/>
      <c r="F28" s="61"/>
      <c r="G28" s="10"/>
      <c r="H28" s="62"/>
      <c r="I28" s="62"/>
      <c r="J28" s="62"/>
      <c r="K28" s="10"/>
      <c r="L28" s="10"/>
      <c r="M28" s="10"/>
      <c r="N28" s="10"/>
      <c r="O28" s="10"/>
      <c r="P28" s="10"/>
      <c r="Q28" s="10"/>
      <c r="R28" s="10"/>
      <c r="S28" s="10"/>
      <c r="T28" s="86" t="str">
        <f t="shared" si="0"/>
        <v/>
      </c>
      <c r="U28" s="86" t="str">
        <f t="shared" si="1"/>
        <v/>
      </c>
      <c r="V28" s="10"/>
      <c r="W28" s="10"/>
      <c r="Z28" s="53"/>
      <c r="AA28" s="71"/>
      <c r="AB28" s="71"/>
      <c r="AC28" s="71"/>
    </row>
    <row r="29" spans="1:36" ht="24.6" customHeight="1" x14ac:dyDescent="0.45">
      <c r="A29" s="59"/>
      <c r="B29" s="60"/>
      <c r="C29" s="10"/>
      <c r="D29" s="61"/>
      <c r="E29" s="10"/>
      <c r="F29" s="61"/>
      <c r="G29" s="10"/>
      <c r="H29" s="62"/>
      <c r="I29" s="62"/>
      <c r="J29" s="62"/>
      <c r="K29" s="10"/>
      <c r="L29" s="10"/>
      <c r="M29" s="10"/>
      <c r="N29" s="10"/>
      <c r="O29" s="10"/>
      <c r="P29" s="10"/>
      <c r="Q29" s="10"/>
      <c r="R29" s="10"/>
      <c r="S29" s="10"/>
      <c r="T29" s="86" t="str">
        <f t="shared" si="0"/>
        <v/>
      </c>
      <c r="U29" s="86" t="str">
        <f t="shared" si="1"/>
        <v/>
      </c>
      <c r="V29" s="10"/>
      <c r="W29" s="10"/>
      <c r="Z29" s="71" t="s">
        <v>107</v>
      </c>
      <c r="AA29" s="71"/>
      <c r="AB29" s="71"/>
      <c r="AC29" s="71"/>
      <c r="AG29" s="82"/>
    </row>
    <row r="30" spans="1:36" ht="24.6" customHeight="1" x14ac:dyDescent="0.45">
      <c r="A30" s="59"/>
      <c r="B30" s="60"/>
      <c r="C30" s="10"/>
      <c r="D30" s="61"/>
      <c r="E30" s="10"/>
      <c r="F30" s="61"/>
      <c r="G30" s="10"/>
      <c r="H30" s="62"/>
      <c r="I30" s="62"/>
      <c r="J30" s="62"/>
      <c r="K30" s="10"/>
      <c r="L30" s="10"/>
      <c r="M30" s="10"/>
      <c r="N30" s="10"/>
      <c r="O30" s="10"/>
      <c r="P30" s="10"/>
      <c r="Q30" s="10"/>
      <c r="R30" s="10"/>
      <c r="S30" s="10"/>
      <c r="T30" s="86" t="str">
        <f t="shared" si="0"/>
        <v/>
      </c>
      <c r="U30" s="86" t="str">
        <f t="shared" si="1"/>
        <v/>
      </c>
      <c r="V30" s="10"/>
      <c r="W30" s="10"/>
      <c r="Z30" s="71"/>
      <c r="AA30" s="71"/>
      <c r="AB30" s="71"/>
      <c r="AC30" s="71"/>
    </row>
    <row r="31" spans="1:36" ht="24.6" customHeight="1" x14ac:dyDescent="0.45">
      <c r="A31" s="59"/>
      <c r="B31" s="60"/>
      <c r="C31" s="10"/>
      <c r="D31" s="61"/>
      <c r="E31" s="10"/>
      <c r="F31" s="61"/>
      <c r="G31" s="10"/>
      <c r="H31" s="62"/>
      <c r="I31" s="62"/>
      <c r="J31" s="62"/>
      <c r="K31" s="10"/>
      <c r="L31" s="10"/>
      <c r="M31" s="10"/>
      <c r="N31" s="10"/>
      <c r="O31" s="10"/>
      <c r="P31" s="10"/>
      <c r="Q31" s="10"/>
      <c r="R31" s="10"/>
      <c r="S31" s="10"/>
      <c r="T31" s="86" t="str">
        <f t="shared" si="0"/>
        <v/>
      </c>
      <c r="U31" s="86" t="str">
        <f t="shared" si="1"/>
        <v/>
      </c>
      <c r="V31" s="10"/>
      <c r="W31" s="10"/>
      <c r="Z31" s="53" t="s">
        <v>109</v>
      </c>
      <c r="AA31" s="71"/>
      <c r="AB31" s="71"/>
      <c r="AC31" s="71"/>
    </row>
    <row r="32" spans="1:36" ht="24.6" customHeight="1" x14ac:dyDescent="0.45">
      <c r="A32" s="59"/>
      <c r="B32" s="60"/>
      <c r="C32" s="10"/>
      <c r="D32" s="61"/>
      <c r="E32" s="10"/>
      <c r="F32" s="61"/>
      <c r="G32" s="10"/>
      <c r="H32" s="62"/>
      <c r="I32" s="62"/>
      <c r="J32" s="62"/>
      <c r="K32" s="10"/>
      <c r="L32" s="10"/>
      <c r="M32" s="10"/>
      <c r="N32" s="10"/>
      <c r="O32" s="10"/>
      <c r="P32" s="10"/>
      <c r="Q32" s="10"/>
      <c r="R32" s="10"/>
      <c r="S32" s="10"/>
      <c r="T32" s="86" t="str">
        <f t="shared" si="0"/>
        <v/>
      </c>
      <c r="U32" s="86" t="str">
        <f t="shared" si="1"/>
        <v/>
      </c>
      <c r="V32" s="10"/>
      <c r="W32" s="10"/>
      <c r="Z32" s="53"/>
      <c r="AA32" s="71"/>
      <c r="AB32" s="71"/>
      <c r="AC32" s="71"/>
    </row>
    <row r="33" spans="1:29" ht="24.6" customHeight="1" x14ac:dyDescent="0.45">
      <c r="A33" s="59"/>
      <c r="B33" s="60"/>
      <c r="C33" s="10"/>
      <c r="D33" s="61"/>
      <c r="E33" s="10"/>
      <c r="F33" s="61"/>
      <c r="G33" s="10"/>
      <c r="H33" s="62"/>
      <c r="I33" s="62"/>
      <c r="J33" s="62"/>
      <c r="K33" s="10"/>
      <c r="L33" s="10"/>
      <c r="M33" s="10"/>
      <c r="N33" s="10"/>
      <c r="O33" s="10"/>
      <c r="P33" s="10"/>
      <c r="Q33" s="10"/>
      <c r="R33" s="10"/>
      <c r="S33" s="10"/>
      <c r="T33" s="86" t="str">
        <f t="shared" si="0"/>
        <v/>
      </c>
      <c r="U33" s="86" t="str">
        <f t="shared" si="1"/>
        <v/>
      </c>
      <c r="V33" s="10"/>
      <c r="W33" s="10"/>
      <c r="Z33" s="53" t="s">
        <v>108</v>
      </c>
      <c r="AA33" s="71"/>
      <c r="AB33" s="71"/>
      <c r="AC33" s="71"/>
    </row>
    <row r="34" spans="1:29" ht="24.6" customHeight="1" x14ac:dyDescent="0.45">
      <c r="A34" s="59"/>
      <c r="B34" s="60"/>
      <c r="C34" s="10"/>
      <c r="D34" s="61"/>
      <c r="E34" s="10"/>
      <c r="F34" s="61"/>
      <c r="G34" s="10"/>
      <c r="H34" s="62"/>
      <c r="I34" s="62"/>
      <c r="J34" s="62"/>
      <c r="K34" s="10"/>
      <c r="L34" s="10"/>
      <c r="M34" s="10"/>
      <c r="N34" s="10"/>
      <c r="O34" s="10"/>
      <c r="P34" s="10"/>
      <c r="Q34" s="10"/>
      <c r="R34" s="10"/>
      <c r="S34" s="10"/>
      <c r="T34" s="86" t="str">
        <f t="shared" si="0"/>
        <v/>
      </c>
      <c r="U34" s="86" t="str">
        <f t="shared" si="1"/>
        <v/>
      </c>
      <c r="V34" s="10"/>
      <c r="W34" s="10"/>
      <c r="Z34" s="71"/>
      <c r="AA34" s="71"/>
      <c r="AB34" s="71"/>
      <c r="AC34" s="71"/>
    </row>
    <row r="35" spans="1:29" ht="24.6" customHeight="1" x14ac:dyDescent="0.45">
      <c r="A35" s="59"/>
      <c r="B35" s="60"/>
      <c r="C35" s="10"/>
      <c r="D35" s="61"/>
      <c r="E35" s="10"/>
      <c r="F35" s="61"/>
      <c r="G35" s="10"/>
      <c r="H35" s="62"/>
      <c r="I35" s="62"/>
      <c r="J35" s="62"/>
      <c r="K35" s="10"/>
      <c r="L35" s="10"/>
      <c r="M35" s="10"/>
      <c r="N35" s="10"/>
      <c r="O35" s="10"/>
      <c r="P35" s="10"/>
      <c r="Q35" s="10"/>
      <c r="R35" s="10"/>
      <c r="S35" s="10"/>
      <c r="T35" s="86" t="str">
        <f t="shared" si="0"/>
        <v/>
      </c>
      <c r="U35" s="86" t="str">
        <f t="shared" si="1"/>
        <v/>
      </c>
      <c r="V35" s="10"/>
      <c r="W35" s="10"/>
      <c r="Z35" s="71" t="s">
        <v>104</v>
      </c>
      <c r="AA35" s="71"/>
      <c r="AB35" s="71"/>
      <c r="AC35" s="71"/>
    </row>
    <row r="36" spans="1:29" ht="24.6" customHeight="1" x14ac:dyDescent="0.45">
      <c r="A36" s="59"/>
      <c r="B36" s="60"/>
      <c r="C36" s="10"/>
      <c r="D36" s="61"/>
      <c r="E36" s="10"/>
      <c r="F36" s="61"/>
      <c r="G36" s="10"/>
      <c r="H36" s="62"/>
      <c r="I36" s="62"/>
      <c r="J36" s="62"/>
      <c r="K36" s="10"/>
      <c r="L36" s="10"/>
      <c r="M36" s="10"/>
      <c r="N36" s="10"/>
      <c r="O36" s="10"/>
      <c r="P36" s="10"/>
      <c r="Q36" s="10"/>
      <c r="R36" s="10"/>
      <c r="S36" s="10"/>
      <c r="T36" s="86" t="str">
        <f t="shared" si="0"/>
        <v/>
      </c>
      <c r="U36" s="86" t="str">
        <f t="shared" si="1"/>
        <v/>
      </c>
      <c r="V36" s="10"/>
      <c r="W36" s="10"/>
      <c r="Z36" s="71"/>
      <c r="AA36" s="71"/>
      <c r="AB36" s="71"/>
      <c r="AC36" s="71"/>
    </row>
    <row r="37" spans="1:29" ht="24.6" customHeight="1" thickBot="1" x14ac:dyDescent="0.5">
      <c r="A37" s="59"/>
      <c r="B37" s="60"/>
      <c r="C37" s="10"/>
      <c r="D37" s="61"/>
      <c r="E37" s="10"/>
      <c r="F37" s="61"/>
      <c r="G37" s="10"/>
      <c r="H37" s="62"/>
      <c r="I37" s="62"/>
      <c r="J37" s="62"/>
      <c r="K37" s="10"/>
      <c r="L37" s="10"/>
      <c r="M37" s="10"/>
      <c r="N37" s="10"/>
      <c r="O37" s="10"/>
      <c r="P37" s="10"/>
      <c r="Q37" s="10"/>
      <c r="R37" s="10"/>
      <c r="S37" s="10"/>
      <c r="T37" s="86" t="str">
        <f t="shared" si="0"/>
        <v/>
      </c>
      <c r="U37" s="86" t="str">
        <f t="shared" si="1"/>
        <v/>
      </c>
      <c r="V37" s="10"/>
      <c r="W37" s="10"/>
      <c r="Z37" s="71"/>
      <c r="AA37" s="71"/>
      <c r="AB37" s="71"/>
      <c r="AC37" s="71"/>
    </row>
    <row r="38" spans="1:29" ht="24.6" customHeight="1" thickBot="1" x14ac:dyDescent="0.5">
      <c r="A38" s="59"/>
      <c r="B38" s="60"/>
      <c r="C38" s="10"/>
      <c r="D38" s="61"/>
      <c r="E38" s="10"/>
      <c r="F38" s="61"/>
      <c r="G38" s="10"/>
      <c r="H38" s="62"/>
      <c r="I38" s="62"/>
      <c r="J38" s="62"/>
      <c r="K38" s="10"/>
      <c r="L38" s="10"/>
      <c r="M38" s="10"/>
      <c r="N38" s="10"/>
      <c r="O38" s="10"/>
      <c r="P38" s="10"/>
      <c r="Q38" s="10"/>
      <c r="R38" s="10"/>
      <c r="S38" s="10"/>
      <c r="T38" s="86" t="str">
        <f t="shared" si="0"/>
        <v/>
      </c>
      <c r="U38" s="86" t="str">
        <f t="shared" si="1"/>
        <v/>
      </c>
      <c r="V38" s="10"/>
      <c r="W38" s="10"/>
      <c r="Z38" s="72" t="s">
        <v>110</v>
      </c>
      <c r="AA38" s="73">
        <f>COUNT($A$6:$A$100)</f>
        <v>8</v>
      </c>
      <c r="AB38" s="71"/>
      <c r="AC38" s="71"/>
    </row>
    <row r="39" spans="1:29" ht="24.6" customHeight="1" thickBot="1" x14ac:dyDescent="0.5">
      <c r="A39" s="59"/>
      <c r="B39" s="60"/>
      <c r="C39" s="10"/>
      <c r="D39" s="61"/>
      <c r="E39" s="10"/>
      <c r="F39" s="61"/>
      <c r="G39" s="10"/>
      <c r="H39" s="62"/>
      <c r="I39" s="62"/>
      <c r="J39" s="62"/>
      <c r="K39" s="10"/>
      <c r="L39" s="10"/>
      <c r="M39" s="10"/>
      <c r="N39" s="10"/>
      <c r="O39" s="10"/>
      <c r="P39" s="10"/>
      <c r="Q39" s="10"/>
      <c r="R39" s="10"/>
      <c r="S39" s="10"/>
      <c r="T39" s="86" t="str">
        <f t="shared" si="0"/>
        <v/>
      </c>
      <c r="U39" s="86" t="str">
        <f t="shared" si="1"/>
        <v/>
      </c>
      <c r="V39" s="10"/>
      <c r="W39" s="10"/>
      <c r="Z39" s="72" t="s">
        <v>111</v>
      </c>
      <c r="AA39" s="73">
        <f>COUNTIF($V$6:$V$100,"APPROVED")</f>
        <v>5</v>
      </c>
      <c r="AB39" s="71"/>
      <c r="AC39" s="71"/>
    </row>
    <row r="40" spans="1:29" ht="24.6" customHeight="1" thickBot="1" x14ac:dyDescent="0.5">
      <c r="A40" s="59"/>
      <c r="B40" s="60"/>
      <c r="C40" s="10"/>
      <c r="D40" s="61"/>
      <c r="E40" s="10"/>
      <c r="F40" s="61"/>
      <c r="G40" s="10"/>
      <c r="H40" s="62"/>
      <c r="I40" s="62"/>
      <c r="J40" s="62"/>
      <c r="K40" s="10"/>
      <c r="L40" s="10"/>
      <c r="M40" s="10"/>
      <c r="N40" s="10"/>
      <c r="O40" s="10"/>
      <c r="P40" s="10"/>
      <c r="Q40" s="10"/>
      <c r="R40" s="10"/>
      <c r="S40" s="10"/>
      <c r="T40" s="86" t="str">
        <f t="shared" si="0"/>
        <v/>
      </c>
      <c r="U40" s="86" t="str">
        <f t="shared" si="1"/>
        <v/>
      </c>
      <c r="V40" s="10"/>
      <c r="W40" s="10"/>
      <c r="Z40" s="72" t="s">
        <v>112</v>
      </c>
      <c r="AA40" s="74">
        <f>COUNTIF($V$6:$V$100,"REJECTED")</f>
        <v>3</v>
      </c>
      <c r="AB40" s="71"/>
      <c r="AC40" s="71"/>
    </row>
    <row r="41" spans="1:29" ht="24.6" customHeight="1" x14ac:dyDescent="0.45">
      <c r="A41" s="59"/>
      <c r="B41" s="60"/>
      <c r="C41" s="10"/>
      <c r="D41" s="61"/>
      <c r="E41" s="10"/>
      <c r="F41" s="61"/>
      <c r="G41" s="10"/>
      <c r="H41" s="62"/>
      <c r="I41" s="62"/>
      <c r="J41" s="62"/>
      <c r="K41" s="10"/>
      <c r="L41" s="10"/>
      <c r="M41" s="10"/>
      <c r="N41" s="10"/>
      <c r="O41" s="10"/>
      <c r="P41" s="10"/>
      <c r="Q41" s="10"/>
      <c r="R41" s="10"/>
      <c r="S41" s="10"/>
      <c r="T41" s="86" t="str">
        <f t="shared" si="0"/>
        <v/>
      </c>
      <c r="U41" s="86" t="str">
        <f t="shared" si="1"/>
        <v/>
      </c>
      <c r="V41" s="10"/>
      <c r="W41" s="10"/>
      <c r="Z41" s="53"/>
      <c r="AA41" s="71"/>
      <c r="AB41" s="71"/>
      <c r="AC41" s="71"/>
    </row>
    <row r="42" spans="1:29" ht="24.6" customHeight="1" thickBot="1" x14ac:dyDescent="0.5">
      <c r="A42" s="59"/>
      <c r="B42" s="60"/>
      <c r="C42" s="10"/>
      <c r="D42" s="61"/>
      <c r="E42" s="10"/>
      <c r="F42" s="61"/>
      <c r="G42" s="10"/>
      <c r="H42" s="62"/>
      <c r="I42" s="62"/>
      <c r="J42" s="62"/>
      <c r="K42" s="10"/>
      <c r="L42" s="10"/>
      <c r="M42" s="10"/>
      <c r="N42" s="10"/>
      <c r="O42" s="10"/>
      <c r="P42" s="10"/>
      <c r="Q42" s="10"/>
      <c r="R42" s="10"/>
      <c r="S42" s="10"/>
      <c r="T42" s="86" t="str">
        <f t="shared" si="0"/>
        <v/>
      </c>
      <c r="U42" s="86" t="str">
        <f t="shared" si="1"/>
        <v/>
      </c>
      <c r="V42" s="10"/>
      <c r="W42" s="10"/>
      <c r="Z42" s="71"/>
      <c r="AA42" s="71"/>
      <c r="AB42" s="71"/>
      <c r="AC42" s="71"/>
    </row>
    <row r="43" spans="1:29" ht="24.6" customHeight="1" thickBot="1" x14ac:dyDescent="0.5">
      <c r="A43" s="59"/>
      <c r="B43" s="60"/>
      <c r="C43" s="10"/>
      <c r="D43" s="61"/>
      <c r="E43" s="10"/>
      <c r="F43" s="61"/>
      <c r="G43" s="10"/>
      <c r="H43" s="62"/>
      <c r="I43" s="62"/>
      <c r="J43" s="62"/>
      <c r="K43" s="10"/>
      <c r="L43" s="10"/>
      <c r="M43" s="10"/>
      <c r="N43" s="10"/>
      <c r="O43" s="10"/>
      <c r="P43" s="10"/>
      <c r="Q43" s="10"/>
      <c r="R43" s="10"/>
      <c r="S43" s="10"/>
      <c r="T43" s="86" t="str">
        <f t="shared" si="0"/>
        <v/>
      </c>
      <c r="U43" s="86" t="str">
        <f t="shared" si="1"/>
        <v/>
      </c>
      <c r="V43" s="10"/>
      <c r="W43" s="10"/>
      <c r="Z43" s="75" t="s">
        <v>28</v>
      </c>
      <c r="AA43" s="76" t="s">
        <v>27</v>
      </c>
      <c r="AB43" s="71"/>
      <c r="AC43" s="71"/>
    </row>
    <row r="44" spans="1:29" ht="24.6" customHeight="1" x14ac:dyDescent="0.45">
      <c r="A44" s="59"/>
      <c r="B44" s="60"/>
      <c r="C44" s="10"/>
      <c r="D44" s="61"/>
      <c r="E44" s="10"/>
      <c r="F44" s="61"/>
      <c r="G44" s="10"/>
      <c r="H44" s="62"/>
      <c r="I44" s="62"/>
      <c r="J44" s="62"/>
      <c r="K44" s="10"/>
      <c r="L44" s="10"/>
      <c r="M44" s="10"/>
      <c r="N44" s="10"/>
      <c r="O44" s="10"/>
      <c r="P44" s="10"/>
      <c r="Q44" s="10"/>
      <c r="R44" s="10"/>
      <c r="S44" s="10"/>
      <c r="T44" s="86" t="str">
        <f t="shared" si="0"/>
        <v/>
      </c>
      <c r="U44" s="86" t="str">
        <f t="shared" si="1"/>
        <v/>
      </c>
      <c r="V44" s="10"/>
      <c r="W44" s="10"/>
      <c r="Z44" s="83" t="s">
        <v>114</v>
      </c>
      <c r="AA44" s="77">
        <f>COUNTIFS($T$6:$T$100,"=A",$V$6:$V$100,"=APPROVED")</f>
        <v>5</v>
      </c>
      <c r="AB44" s="71"/>
      <c r="AC44" s="71"/>
    </row>
    <row r="45" spans="1:29" ht="24.6" customHeight="1" x14ac:dyDescent="0.45">
      <c r="A45" s="59"/>
      <c r="B45" s="60"/>
      <c r="C45" s="10"/>
      <c r="D45" s="61"/>
      <c r="E45" s="10"/>
      <c r="F45" s="61"/>
      <c r="G45" s="10"/>
      <c r="H45" s="62"/>
      <c r="I45" s="62"/>
      <c r="J45" s="62"/>
      <c r="K45" s="10"/>
      <c r="L45" s="10"/>
      <c r="M45" s="10"/>
      <c r="N45" s="10"/>
      <c r="O45" s="10"/>
      <c r="P45" s="10"/>
      <c r="Q45" s="10"/>
      <c r="R45" s="10"/>
      <c r="S45" s="10"/>
      <c r="T45" s="86" t="str">
        <f t="shared" si="0"/>
        <v/>
      </c>
      <c r="U45" s="86" t="str">
        <f t="shared" si="1"/>
        <v/>
      </c>
      <c r="V45" s="10"/>
      <c r="W45" s="10"/>
      <c r="Z45" s="84" t="s">
        <v>125</v>
      </c>
      <c r="AA45" s="78">
        <f>COUNTIFS($V$6:$V$100,"=REJECTED")</f>
        <v>3</v>
      </c>
      <c r="AB45" s="71"/>
      <c r="AC45" s="71"/>
    </row>
    <row r="46" spans="1:29" ht="24.6" customHeight="1" thickBot="1" x14ac:dyDescent="0.5">
      <c r="A46" s="59"/>
      <c r="B46" s="60"/>
      <c r="C46" s="10"/>
      <c r="D46" s="61"/>
      <c r="E46" s="10"/>
      <c r="F46" s="61"/>
      <c r="G46" s="10"/>
      <c r="H46" s="62"/>
      <c r="I46" s="62"/>
      <c r="J46" s="62"/>
      <c r="K46" s="10"/>
      <c r="L46" s="10"/>
      <c r="M46" s="10"/>
      <c r="N46" s="10"/>
      <c r="O46" s="10"/>
      <c r="P46" s="10"/>
      <c r="Q46" s="10"/>
      <c r="R46" s="10"/>
      <c r="S46" s="10"/>
      <c r="T46" s="86" t="str">
        <f t="shared" si="0"/>
        <v/>
      </c>
      <c r="U46" s="86" t="str">
        <f t="shared" si="1"/>
        <v/>
      </c>
      <c r="V46" s="10"/>
      <c r="W46" s="10"/>
      <c r="Z46" s="85" t="s">
        <v>29</v>
      </c>
      <c r="AA46" s="79">
        <f>SUM($AA$44:$AA$45)</f>
        <v>8</v>
      </c>
      <c r="AB46" s="71"/>
      <c r="AC46" s="71"/>
    </row>
    <row r="47" spans="1:29" ht="24.6" customHeight="1" x14ac:dyDescent="0.45">
      <c r="A47" s="59"/>
      <c r="B47" s="60"/>
      <c r="C47" s="10"/>
      <c r="D47" s="61"/>
      <c r="E47" s="10"/>
      <c r="F47" s="61"/>
      <c r="G47" s="10"/>
      <c r="H47" s="62"/>
      <c r="I47" s="62"/>
      <c r="J47" s="62"/>
      <c r="K47" s="10"/>
      <c r="L47" s="10"/>
      <c r="M47" s="10"/>
      <c r="N47" s="10"/>
      <c r="O47" s="10"/>
      <c r="P47" s="10"/>
      <c r="Q47" s="10"/>
      <c r="R47" s="10"/>
      <c r="S47" s="10"/>
      <c r="T47" s="86" t="str">
        <f t="shared" si="0"/>
        <v/>
      </c>
      <c r="U47" s="86" t="str">
        <f t="shared" si="1"/>
        <v/>
      </c>
      <c r="V47" s="10"/>
      <c r="W47" s="10"/>
      <c r="Z47" s="80"/>
      <c r="AA47" s="81"/>
      <c r="AB47" s="71"/>
      <c r="AC47" s="71"/>
    </row>
    <row r="48" spans="1:29" ht="24.6" customHeight="1" x14ac:dyDescent="0.45">
      <c r="A48" s="59"/>
      <c r="B48" s="60"/>
      <c r="C48" s="10"/>
      <c r="D48" s="61"/>
      <c r="E48" s="10"/>
      <c r="F48" s="61"/>
      <c r="G48" s="10"/>
      <c r="H48" s="62"/>
      <c r="I48" s="62"/>
      <c r="J48" s="62"/>
      <c r="K48" s="10"/>
      <c r="L48" s="10"/>
      <c r="M48" s="10"/>
      <c r="N48" s="10"/>
      <c r="O48" s="10"/>
      <c r="P48" s="10"/>
      <c r="Q48" s="10"/>
      <c r="R48" s="10"/>
      <c r="S48" s="10"/>
      <c r="T48" s="86" t="str">
        <f t="shared" si="0"/>
        <v/>
      </c>
      <c r="U48" s="86" t="str">
        <f t="shared" si="1"/>
        <v/>
      </c>
      <c r="V48" s="10"/>
      <c r="W48" s="10"/>
      <c r="Z48" s="82"/>
      <c r="AA48" s="71"/>
      <c r="AB48" s="71"/>
      <c r="AC48" s="71"/>
    </row>
    <row r="49" spans="1:23" ht="24.6" customHeight="1" x14ac:dyDescent="0.45">
      <c r="A49" s="59"/>
      <c r="B49" s="60"/>
      <c r="C49" s="10"/>
      <c r="D49" s="61"/>
      <c r="E49" s="10"/>
      <c r="F49" s="61"/>
      <c r="G49" s="10"/>
      <c r="H49" s="62"/>
      <c r="I49" s="62"/>
      <c r="J49" s="62"/>
      <c r="K49" s="10"/>
      <c r="L49" s="10"/>
      <c r="M49" s="10"/>
      <c r="N49" s="10"/>
      <c r="O49" s="10"/>
      <c r="P49" s="10"/>
      <c r="Q49" s="10"/>
      <c r="R49" s="10"/>
      <c r="S49" s="10"/>
      <c r="T49" s="86" t="str">
        <f t="shared" si="0"/>
        <v/>
      </c>
      <c r="U49" s="86" t="str">
        <f t="shared" si="1"/>
        <v/>
      </c>
      <c r="V49" s="10"/>
      <c r="W49" s="10"/>
    </row>
    <row r="50" spans="1:23" ht="24.6" customHeight="1" x14ac:dyDescent="0.45">
      <c r="A50" s="59"/>
      <c r="B50" s="60"/>
      <c r="C50" s="10"/>
      <c r="D50" s="61"/>
      <c r="E50" s="10"/>
      <c r="F50" s="61"/>
      <c r="G50" s="10"/>
      <c r="H50" s="62"/>
      <c r="I50" s="62"/>
      <c r="J50" s="62"/>
      <c r="K50" s="10"/>
      <c r="L50" s="10"/>
      <c r="M50" s="10"/>
      <c r="N50" s="10"/>
      <c r="O50" s="10"/>
      <c r="P50" s="10"/>
      <c r="Q50" s="10"/>
      <c r="R50" s="10"/>
      <c r="S50" s="10"/>
      <c r="T50" s="86" t="str">
        <f t="shared" si="0"/>
        <v/>
      </c>
      <c r="U50" s="86" t="str">
        <f t="shared" si="1"/>
        <v/>
      </c>
      <c r="V50" s="10"/>
      <c r="W50" s="10"/>
    </row>
    <row r="51" spans="1:23" ht="24.6" customHeight="1" x14ac:dyDescent="0.45">
      <c r="A51" s="59"/>
      <c r="B51" s="60"/>
      <c r="C51" s="10"/>
      <c r="D51" s="61"/>
      <c r="E51" s="10"/>
      <c r="F51" s="61"/>
      <c r="G51" s="10"/>
      <c r="H51" s="62"/>
      <c r="I51" s="62"/>
      <c r="J51" s="62"/>
      <c r="K51" s="10"/>
      <c r="L51" s="10"/>
      <c r="M51" s="10"/>
      <c r="N51" s="10"/>
      <c r="O51" s="10"/>
      <c r="P51" s="10"/>
      <c r="Q51" s="10"/>
      <c r="R51" s="10"/>
      <c r="S51" s="10"/>
      <c r="T51" s="86" t="str">
        <f t="shared" si="0"/>
        <v/>
      </c>
      <c r="U51" s="86" t="str">
        <f t="shared" si="1"/>
        <v/>
      </c>
      <c r="V51" s="10"/>
      <c r="W51" s="10"/>
    </row>
    <row r="52" spans="1:23" ht="24.6" customHeight="1" x14ac:dyDescent="0.45">
      <c r="A52" s="59"/>
      <c r="B52" s="60"/>
      <c r="C52" s="10"/>
      <c r="D52" s="61"/>
      <c r="E52" s="10"/>
      <c r="F52" s="61"/>
      <c r="G52" s="10"/>
      <c r="H52" s="62"/>
      <c r="I52" s="62"/>
      <c r="J52" s="62"/>
      <c r="K52" s="10"/>
      <c r="L52" s="10"/>
      <c r="M52" s="10"/>
      <c r="N52" s="10"/>
      <c r="O52" s="10"/>
      <c r="P52" s="10"/>
      <c r="Q52" s="10"/>
      <c r="R52" s="10"/>
      <c r="S52" s="10"/>
      <c r="T52" s="86" t="str">
        <f t="shared" si="0"/>
        <v/>
      </c>
      <c r="U52" s="86" t="str">
        <f t="shared" si="1"/>
        <v/>
      </c>
      <c r="V52" s="10"/>
      <c r="W52" s="10"/>
    </row>
    <row r="53" spans="1:23" ht="24.6" customHeight="1" x14ac:dyDescent="0.45">
      <c r="A53" s="59"/>
      <c r="B53" s="60"/>
      <c r="C53" s="10"/>
      <c r="D53" s="61"/>
      <c r="E53" s="10"/>
      <c r="F53" s="61"/>
      <c r="G53" s="10"/>
      <c r="H53" s="62"/>
      <c r="I53" s="62"/>
      <c r="J53" s="62"/>
      <c r="K53" s="10"/>
      <c r="L53" s="10"/>
      <c r="M53" s="10"/>
      <c r="N53" s="10"/>
      <c r="O53" s="10"/>
      <c r="P53" s="10"/>
      <c r="Q53" s="10"/>
      <c r="R53" s="10"/>
      <c r="S53" s="10"/>
      <c r="T53" s="86" t="str">
        <f t="shared" si="0"/>
        <v/>
      </c>
      <c r="U53" s="86" t="str">
        <f t="shared" si="1"/>
        <v/>
      </c>
      <c r="V53" s="10"/>
      <c r="W53" s="10"/>
    </row>
    <row r="54" spans="1:23" ht="24.6" customHeight="1" x14ac:dyDescent="0.45">
      <c r="A54" s="59"/>
      <c r="B54" s="60"/>
      <c r="C54" s="10"/>
      <c r="D54" s="61"/>
      <c r="E54" s="10"/>
      <c r="F54" s="61"/>
      <c r="G54" s="10"/>
      <c r="H54" s="62"/>
      <c r="I54" s="62"/>
      <c r="J54" s="62"/>
      <c r="K54" s="10"/>
      <c r="L54" s="10"/>
      <c r="M54" s="10"/>
      <c r="N54" s="10"/>
      <c r="O54" s="10"/>
      <c r="P54" s="10"/>
      <c r="Q54" s="10"/>
      <c r="R54" s="10"/>
      <c r="S54" s="10"/>
      <c r="T54" s="86" t="str">
        <f t="shared" si="0"/>
        <v/>
      </c>
      <c r="U54" s="86" t="str">
        <f t="shared" si="1"/>
        <v/>
      </c>
      <c r="V54" s="10"/>
      <c r="W54" s="10"/>
    </row>
    <row r="55" spans="1:23" ht="24.6" customHeight="1" x14ac:dyDescent="0.45">
      <c r="A55" s="59"/>
      <c r="B55" s="60"/>
      <c r="C55" s="10"/>
      <c r="D55" s="61"/>
      <c r="E55" s="10"/>
      <c r="F55" s="61"/>
      <c r="G55" s="10"/>
      <c r="H55" s="62"/>
      <c r="I55" s="62"/>
      <c r="J55" s="62"/>
      <c r="K55" s="10"/>
      <c r="L55" s="10"/>
      <c r="M55" s="10"/>
      <c r="N55" s="10"/>
      <c r="O55" s="10"/>
      <c r="P55" s="10"/>
      <c r="Q55" s="10"/>
      <c r="R55" s="10"/>
      <c r="S55" s="10"/>
      <c r="T55" s="86" t="str">
        <f t="shared" si="0"/>
        <v/>
      </c>
      <c r="U55" s="86" t="str">
        <f t="shared" si="1"/>
        <v/>
      </c>
      <c r="V55" s="10"/>
      <c r="W55" s="10"/>
    </row>
    <row r="56" spans="1:23" ht="24.6" customHeight="1" x14ac:dyDescent="0.45">
      <c r="A56" s="59"/>
      <c r="B56" s="60"/>
      <c r="C56" s="10"/>
      <c r="D56" s="61"/>
      <c r="E56" s="10"/>
      <c r="F56" s="61"/>
      <c r="G56" s="10"/>
      <c r="H56" s="62"/>
      <c r="I56" s="62"/>
      <c r="J56" s="62"/>
      <c r="K56" s="10"/>
      <c r="L56" s="10"/>
      <c r="M56" s="10"/>
      <c r="N56" s="10"/>
      <c r="O56" s="10"/>
      <c r="P56" s="10"/>
      <c r="Q56" s="10"/>
      <c r="R56" s="10"/>
      <c r="S56" s="10"/>
      <c r="T56" s="86" t="str">
        <f t="shared" si="0"/>
        <v/>
      </c>
      <c r="U56" s="86" t="str">
        <f t="shared" si="1"/>
        <v/>
      </c>
      <c r="V56" s="10"/>
      <c r="W56" s="10"/>
    </row>
    <row r="57" spans="1:23" ht="24.6" customHeight="1" x14ac:dyDescent="0.45">
      <c r="A57" s="59"/>
      <c r="B57" s="60"/>
      <c r="C57" s="10"/>
      <c r="D57" s="61"/>
      <c r="E57" s="10"/>
      <c r="F57" s="61"/>
      <c r="G57" s="10"/>
      <c r="H57" s="62"/>
      <c r="I57" s="62"/>
      <c r="J57" s="62"/>
      <c r="K57" s="10"/>
      <c r="L57" s="10"/>
      <c r="M57" s="10"/>
      <c r="N57" s="10"/>
      <c r="O57" s="10"/>
      <c r="P57" s="10"/>
      <c r="Q57" s="10"/>
      <c r="R57" s="10"/>
      <c r="S57" s="10"/>
      <c r="T57" s="86" t="str">
        <f t="shared" si="0"/>
        <v/>
      </c>
      <c r="U57" s="86" t="str">
        <f t="shared" si="1"/>
        <v/>
      </c>
      <c r="V57" s="10"/>
      <c r="W57" s="10"/>
    </row>
    <row r="58" spans="1:23" ht="24.6" customHeight="1" x14ac:dyDescent="0.45">
      <c r="A58" s="59"/>
      <c r="B58" s="60"/>
      <c r="C58" s="10"/>
      <c r="D58" s="61"/>
      <c r="E58" s="10"/>
      <c r="F58" s="61"/>
      <c r="G58" s="10"/>
      <c r="H58" s="62"/>
      <c r="I58" s="62"/>
      <c r="J58" s="62"/>
      <c r="K58" s="10"/>
      <c r="L58" s="10"/>
      <c r="M58" s="10"/>
      <c r="N58" s="10"/>
      <c r="O58" s="10"/>
      <c r="P58" s="10"/>
      <c r="Q58" s="10"/>
      <c r="R58" s="10"/>
      <c r="S58" s="10"/>
      <c r="T58" s="86" t="str">
        <f t="shared" si="0"/>
        <v/>
      </c>
      <c r="U58" s="86" t="str">
        <f t="shared" si="1"/>
        <v/>
      </c>
      <c r="V58" s="10"/>
      <c r="W58" s="10"/>
    </row>
    <row r="59" spans="1:23" ht="24.6" customHeight="1" x14ac:dyDescent="0.45">
      <c r="A59" s="59"/>
      <c r="B59" s="60"/>
      <c r="C59" s="10"/>
      <c r="D59" s="61"/>
      <c r="E59" s="10"/>
      <c r="F59" s="61"/>
      <c r="G59" s="10"/>
      <c r="H59" s="62"/>
      <c r="I59" s="62"/>
      <c r="J59" s="62"/>
      <c r="K59" s="10"/>
      <c r="L59" s="10"/>
      <c r="M59" s="10"/>
      <c r="N59" s="10"/>
      <c r="O59" s="10"/>
      <c r="P59" s="10"/>
      <c r="Q59" s="10"/>
      <c r="R59" s="10"/>
      <c r="S59" s="10"/>
      <c r="T59" s="86" t="str">
        <f t="shared" si="0"/>
        <v/>
      </c>
      <c r="U59" s="86" t="str">
        <f t="shared" si="1"/>
        <v/>
      </c>
      <c r="V59" s="10"/>
      <c r="W59" s="10"/>
    </row>
    <row r="60" spans="1:23" ht="24.6" customHeight="1" x14ac:dyDescent="0.45">
      <c r="A60" s="59"/>
      <c r="B60" s="60"/>
      <c r="C60" s="10"/>
      <c r="D60" s="61"/>
      <c r="E60" s="10"/>
      <c r="F60" s="61"/>
      <c r="G60" s="10"/>
      <c r="H60" s="62"/>
      <c r="I60" s="62"/>
      <c r="J60" s="62"/>
      <c r="K60" s="10"/>
      <c r="L60" s="10"/>
      <c r="M60" s="10"/>
      <c r="N60" s="10"/>
      <c r="O60" s="10"/>
      <c r="P60" s="10"/>
      <c r="Q60" s="10"/>
      <c r="R60" s="10"/>
      <c r="S60" s="10"/>
      <c r="T60" s="86" t="str">
        <f t="shared" si="0"/>
        <v/>
      </c>
      <c r="U60" s="86" t="str">
        <f t="shared" si="1"/>
        <v/>
      </c>
      <c r="V60" s="10"/>
      <c r="W60" s="10"/>
    </row>
    <row r="61" spans="1:23" ht="24.6" customHeight="1" x14ac:dyDescent="0.45">
      <c r="A61" s="59"/>
      <c r="B61" s="60"/>
      <c r="C61" s="10"/>
      <c r="D61" s="61"/>
      <c r="E61" s="10"/>
      <c r="F61" s="61"/>
      <c r="G61" s="10"/>
      <c r="H61" s="62"/>
      <c r="I61" s="62"/>
      <c r="J61" s="62"/>
      <c r="K61" s="10"/>
      <c r="L61" s="10"/>
      <c r="M61" s="10"/>
      <c r="N61" s="10"/>
      <c r="O61" s="10"/>
      <c r="P61" s="10"/>
      <c r="Q61" s="10"/>
      <c r="R61" s="10"/>
      <c r="S61" s="10"/>
      <c r="T61" s="86" t="str">
        <f t="shared" si="0"/>
        <v/>
      </c>
      <c r="U61" s="86" t="str">
        <f t="shared" si="1"/>
        <v/>
      </c>
      <c r="V61" s="10"/>
      <c r="W61" s="10"/>
    </row>
    <row r="62" spans="1:23" ht="24.6" customHeight="1" x14ac:dyDescent="0.45">
      <c r="A62" s="59"/>
      <c r="B62" s="60"/>
      <c r="C62" s="10"/>
      <c r="D62" s="61"/>
      <c r="E62" s="10"/>
      <c r="F62" s="61"/>
      <c r="G62" s="10"/>
      <c r="H62" s="62"/>
      <c r="I62" s="62"/>
      <c r="J62" s="62"/>
      <c r="K62" s="10"/>
      <c r="L62" s="10"/>
      <c r="M62" s="10"/>
      <c r="N62" s="10"/>
      <c r="O62" s="10"/>
      <c r="P62" s="10"/>
      <c r="Q62" s="10"/>
      <c r="R62" s="10"/>
      <c r="S62" s="10"/>
      <c r="T62" s="86" t="str">
        <f t="shared" si="0"/>
        <v/>
      </c>
      <c r="U62" s="86" t="str">
        <f t="shared" si="1"/>
        <v/>
      </c>
      <c r="V62" s="10"/>
      <c r="W62" s="10"/>
    </row>
    <row r="63" spans="1:23" ht="24.6" customHeight="1" x14ac:dyDescent="0.45">
      <c r="A63" s="59"/>
      <c r="B63" s="60"/>
      <c r="C63" s="10"/>
      <c r="D63" s="61"/>
      <c r="E63" s="10"/>
      <c r="F63" s="61"/>
      <c r="G63" s="10"/>
      <c r="H63" s="62"/>
      <c r="I63" s="62"/>
      <c r="J63" s="62"/>
      <c r="K63" s="10"/>
      <c r="L63" s="10"/>
      <c r="M63" s="10"/>
      <c r="N63" s="10"/>
      <c r="O63" s="10"/>
      <c r="P63" s="10"/>
      <c r="Q63" s="10"/>
      <c r="R63" s="10"/>
      <c r="S63" s="10"/>
      <c r="T63" s="86" t="str">
        <f t="shared" si="0"/>
        <v/>
      </c>
      <c r="U63" s="86" t="str">
        <f t="shared" si="1"/>
        <v/>
      </c>
      <c r="V63" s="10"/>
      <c r="W63" s="10"/>
    </row>
    <row r="64" spans="1:23" ht="24.6" customHeight="1" x14ac:dyDescent="0.45">
      <c r="A64" s="59"/>
      <c r="B64" s="60"/>
      <c r="C64" s="10"/>
      <c r="D64" s="61"/>
      <c r="E64" s="10"/>
      <c r="F64" s="61"/>
      <c r="G64" s="10"/>
      <c r="H64" s="62"/>
      <c r="I64" s="62"/>
      <c r="J64" s="62"/>
      <c r="K64" s="10"/>
      <c r="L64" s="10"/>
      <c r="M64" s="10"/>
      <c r="N64" s="10"/>
      <c r="O64" s="10"/>
      <c r="P64" s="10"/>
      <c r="Q64" s="10"/>
      <c r="R64" s="10"/>
      <c r="S64" s="10"/>
      <c r="T64" s="86" t="str">
        <f t="shared" si="0"/>
        <v/>
      </c>
      <c r="U64" s="86" t="str">
        <f t="shared" si="1"/>
        <v/>
      </c>
      <c r="V64" s="10"/>
      <c r="W64" s="10"/>
    </row>
    <row r="65" spans="1:23" ht="24.6" customHeight="1" x14ac:dyDescent="0.45">
      <c r="A65" s="59"/>
      <c r="B65" s="60"/>
      <c r="C65" s="10"/>
      <c r="D65" s="61"/>
      <c r="E65" s="10"/>
      <c r="F65" s="61"/>
      <c r="G65" s="10"/>
      <c r="H65" s="62"/>
      <c r="I65" s="62"/>
      <c r="J65" s="62"/>
      <c r="K65" s="10"/>
      <c r="L65" s="10"/>
      <c r="M65" s="10"/>
      <c r="N65" s="10"/>
      <c r="O65" s="10"/>
      <c r="P65" s="10"/>
      <c r="Q65" s="10"/>
      <c r="R65" s="10"/>
      <c r="S65" s="10"/>
      <c r="T65" s="86" t="str">
        <f t="shared" si="0"/>
        <v/>
      </c>
      <c r="U65" s="86" t="str">
        <f t="shared" si="1"/>
        <v/>
      </c>
      <c r="V65" s="10"/>
      <c r="W65" s="10"/>
    </row>
    <row r="66" spans="1:23" ht="24.6" customHeight="1" x14ac:dyDescent="0.45">
      <c r="A66" s="59"/>
      <c r="B66" s="60"/>
      <c r="C66" s="10"/>
      <c r="D66" s="61"/>
      <c r="E66" s="10"/>
      <c r="F66" s="61"/>
      <c r="G66" s="10"/>
      <c r="H66" s="62"/>
      <c r="I66" s="62"/>
      <c r="J66" s="62"/>
      <c r="K66" s="10"/>
      <c r="L66" s="10"/>
      <c r="M66" s="10"/>
      <c r="N66" s="10"/>
      <c r="O66" s="10"/>
      <c r="P66" s="10"/>
      <c r="Q66" s="10"/>
      <c r="R66" s="10"/>
      <c r="S66" s="10"/>
      <c r="T66" s="86" t="str">
        <f t="shared" si="0"/>
        <v/>
      </c>
      <c r="U66" s="86" t="str">
        <f t="shared" si="1"/>
        <v/>
      </c>
      <c r="V66" s="10"/>
      <c r="W66" s="10"/>
    </row>
    <row r="67" spans="1:23" ht="24.6" customHeight="1" x14ac:dyDescent="0.45">
      <c r="A67" s="59"/>
      <c r="B67" s="60"/>
      <c r="C67" s="10"/>
      <c r="D67" s="61"/>
      <c r="E67" s="10"/>
      <c r="F67" s="61"/>
      <c r="G67" s="10"/>
      <c r="H67" s="62"/>
      <c r="I67" s="62"/>
      <c r="J67" s="62"/>
      <c r="K67" s="10"/>
      <c r="L67" s="10"/>
      <c r="M67" s="10"/>
      <c r="N67" s="10"/>
      <c r="O67" s="10"/>
      <c r="P67" s="10"/>
      <c r="Q67" s="10"/>
      <c r="R67" s="10"/>
      <c r="S67" s="10"/>
      <c r="T67" s="86" t="str">
        <f t="shared" si="0"/>
        <v/>
      </c>
      <c r="U67" s="86" t="str">
        <f t="shared" si="1"/>
        <v/>
      </c>
      <c r="V67" s="10"/>
      <c r="W67" s="10"/>
    </row>
    <row r="68" spans="1:23" ht="24.6" customHeight="1" x14ac:dyDescent="0.45">
      <c r="A68" s="59"/>
      <c r="B68" s="60"/>
      <c r="C68" s="10"/>
      <c r="D68" s="61"/>
      <c r="E68" s="10"/>
      <c r="F68" s="61"/>
      <c r="G68" s="10"/>
      <c r="H68" s="62"/>
      <c r="I68" s="62"/>
      <c r="J68" s="62"/>
      <c r="K68" s="10"/>
      <c r="L68" s="10"/>
      <c r="M68" s="10"/>
      <c r="N68" s="10"/>
      <c r="O68" s="10"/>
      <c r="P68" s="10"/>
      <c r="Q68" s="10"/>
      <c r="R68" s="10"/>
      <c r="S68" s="10"/>
      <c r="T68" s="86" t="str">
        <f t="shared" si="0"/>
        <v/>
      </c>
      <c r="U68" s="86" t="str">
        <f t="shared" si="1"/>
        <v/>
      </c>
      <c r="V68" s="10"/>
      <c r="W68" s="10"/>
    </row>
    <row r="69" spans="1:23" ht="24.6" customHeight="1" x14ac:dyDescent="0.45">
      <c r="A69" s="59"/>
      <c r="B69" s="60"/>
      <c r="C69" s="10"/>
      <c r="D69" s="61"/>
      <c r="E69" s="10"/>
      <c r="F69" s="61"/>
      <c r="G69" s="10"/>
      <c r="H69" s="62"/>
      <c r="I69" s="62"/>
      <c r="J69" s="62"/>
      <c r="K69" s="10"/>
      <c r="L69" s="10"/>
      <c r="M69" s="10"/>
      <c r="N69" s="10"/>
      <c r="O69" s="10"/>
      <c r="P69" s="10"/>
      <c r="Q69" s="10"/>
      <c r="R69" s="10"/>
      <c r="S69" s="10"/>
      <c r="T69" s="86" t="str">
        <f t="shared" si="0"/>
        <v/>
      </c>
      <c r="U69" s="86" t="str">
        <f t="shared" si="1"/>
        <v/>
      </c>
      <c r="V69" s="10"/>
      <c r="W69" s="10"/>
    </row>
    <row r="70" spans="1:23" ht="24.6" customHeight="1" x14ac:dyDescent="0.45">
      <c r="A70" s="59"/>
      <c r="B70" s="60"/>
      <c r="C70" s="10"/>
      <c r="D70" s="61"/>
      <c r="E70" s="10"/>
      <c r="F70" s="61"/>
      <c r="G70" s="10"/>
      <c r="H70" s="62"/>
      <c r="I70" s="62"/>
      <c r="J70" s="62"/>
      <c r="K70" s="10"/>
      <c r="L70" s="10"/>
      <c r="M70" s="10"/>
      <c r="N70" s="10"/>
      <c r="O70" s="10"/>
      <c r="P70" s="10"/>
      <c r="Q70" s="10"/>
      <c r="R70" s="10"/>
      <c r="S70" s="10"/>
      <c r="T70" s="86" t="str">
        <f t="shared" si="0"/>
        <v/>
      </c>
      <c r="U70" s="86" t="str">
        <f t="shared" si="1"/>
        <v/>
      </c>
      <c r="V70" s="10"/>
      <c r="W70" s="10"/>
    </row>
    <row r="71" spans="1:23" ht="24.6" customHeight="1" x14ac:dyDescent="0.45">
      <c r="A71" s="59"/>
      <c r="B71" s="60"/>
      <c r="C71" s="10"/>
      <c r="D71" s="61"/>
      <c r="E71" s="10"/>
      <c r="F71" s="61"/>
      <c r="G71" s="10"/>
      <c r="H71" s="62"/>
      <c r="I71" s="62"/>
      <c r="J71" s="62"/>
      <c r="K71" s="10"/>
      <c r="L71" s="10"/>
      <c r="M71" s="10"/>
      <c r="N71" s="10"/>
      <c r="O71" s="10"/>
      <c r="P71" s="10"/>
      <c r="Q71" s="10"/>
      <c r="R71" s="10"/>
      <c r="S71" s="10"/>
      <c r="T71" s="86" t="str">
        <f t="shared" ref="T71:T100" si="2">IF(C71&lt;&gt;"",IF(R71&gt;=50,"A",IF(AND(R71&lt;50,R71&gt;=35),"B",IF(AND(R71&lt;35,R71&gt;=20),"C",IF(AND(R71&lt;20,R71&gt;=10),"D","F")))),"")</f>
        <v/>
      </c>
      <c r="U71" s="86" t="str">
        <f t="shared" ref="U71:U100" si="3">IF(C71&lt;&gt;"",SUM(N71:Q71),"")</f>
        <v/>
      </c>
      <c r="V71" s="10"/>
      <c r="W71" s="10"/>
    </row>
    <row r="72" spans="1:23" ht="24.6" customHeight="1" x14ac:dyDescent="0.45">
      <c r="A72" s="59"/>
      <c r="B72" s="60"/>
      <c r="C72" s="10"/>
      <c r="D72" s="61"/>
      <c r="E72" s="10"/>
      <c r="F72" s="61"/>
      <c r="G72" s="10"/>
      <c r="H72" s="62"/>
      <c r="I72" s="62"/>
      <c r="J72" s="62"/>
      <c r="K72" s="10"/>
      <c r="L72" s="10"/>
      <c r="M72" s="10"/>
      <c r="N72" s="10"/>
      <c r="O72" s="10"/>
      <c r="P72" s="10"/>
      <c r="Q72" s="10"/>
      <c r="R72" s="10"/>
      <c r="S72" s="10"/>
      <c r="T72" s="86" t="str">
        <f t="shared" si="2"/>
        <v/>
      </c>
      <c r="U72" s="86" t="str">
        <f t="shared" si="3"/>
        <v/>
      </c>
      <c r="V72" s="10"/>
      <c r="W72" s="10"/>
    </row>
    <row r="73" spans="1:23" ht="24.6" customHeight="1" x14ac:dyDescent="0.45">
      <c r="A73" s="59"/>
      <c r="B73" s="60"/>
      <c r="C73" s="10"/>
      <c r="D73" s="61"/>
      <c r="E73" s="10"/>
      <c r="F73" s="61"/>
      <c r="G73" s="10"/>
      <c r="H73" s="62"/>
      <c r="I73" s="62"/>
      <c r="J73" s="62"/>
      <c r="K73" s="10"/>
      <c r="L73" s="10"/>
      <c r="M73" s="10"/>
      <c r="N73" s="10"/>
      <c r="O73" s="10"/>
      <c r="P73" s="10"/>
      <c r="Q73" s="10"/>
      <c r="R73" s="10"/>
      <c r="S73" s="10"/>
      <c r="T73" s="86" t="str">
        <f t="shared" si="2"/>
        <v/>
      </c>
      <c r="U73" s="86" t="str">
        <f t="shared" si="3"/>
        <v/>
      </c>
      <c r="V73" s="10"/>
      <c r="W73" s="10"/>
    </row>
    <row r="74" spans="1:23" ht="24.6" customHeight="1" x14ac:dyDescent="0.45">
      <c r="A74" s="59"/>
      <c r="B74" s="60"/>
      <c r="C74" s="10"/>
      <c r="D74" s="61"/>
      <c r="E74" s="10"/>
      <c r="F74" s="61"/>
      <c r="G74" s="10"/>
      <c r="H74" s="62"/>
      <c r="I74" s="62"/>
      <c r="J74" s="62"/>
      <c r="K74" s="10"/>
      <c r="L74" s="10"/>
      <c r="M74" s="10"/>
      <c r="N74" s="10"/>
      <c r="O74" s="10"/>
      <c r="P74" s="10"/>
      <c r="Q74" s="10"/>
      <c r="R74" s="10"/>
      <c r="S74" s="10"/>
      <c r="T74" s="86" t="str">
        <f t="shared" si="2"/>
        <v/>
      </c>
      <c r="U74" s="86" t="str">
        <f t="shared" si="3"/>
        <v/>
      </c>
      <c r="V74" s="10"/>
      <c r="W74" s="10"/>
    </row>
    <row r="75" spans="1:23" ht="24.6" customHeight="1" x14ac:dyDescent="0.45">
      <c r="A75" s="59"/>
      <c r="B75" s="60"/>
      <c r="C75" s="10"/>
      <c r="D75" s="61"/>
      <c r="E75" s="10"/>
      <c r="F75" s="61"/>
      <c r="G75" s="10"/>
      <c r="H75" s="62"/>
      <c r="I75" s="62"/>
      <c r="J75" s="62"/>
      <c r="K75" s="10"/>
      <c r="L75" s="10"/>
      <c r="M75" s="10"/>
      <c r="N75" s="10"/>
      <c r="O75" s="10"/>
      <c r="P75" s="10"/>
      <c r="Q75" s="10"/>
      <c r="R75" s="10"/>
      <c r="S75" s="10"/>
      <c r="T75" s="86" t="str">
        <f t="shared" si="2"/>
        <v/>
      </c>
      <c r="U75" s="86" t="str">
        <f t="shared" si="3"/>
        <v/>
      </c>
      <c r="V75" s="10"/>
      <c r="W75" s="10"/>
    </row>
    <row r="76" spans="1:23" ht="24.6" customHeight="1" x14ac:dyDescent="0.45">
      <c r="A76" s="59"/>
      <c r="B76" s="60"/>
      <c r="C76" s="10"/>
      <c r="D76" s="61"/>
      <c r="E76" s="10"/>
      <c r="F76" s="61"/>
      <c r="G76" s="10"/>
      <c r="H76" s="62"/>
      <c r="I76" s="62"/>
      <c r="J76" s="62"/>
      <c r="K76" s="10"/>
      <c r="L76" s="10"/>
      <c r="M76" s="10"/>
      <c r="N76" s="10"/>
      <c r="O76" s="10"/>
      <c r="P76" s="10"/>
      <c r="Q76" s="10"/>
      <c r="R76" s="10"/>
      <c r="S76" s="10"/>
      <c r="T76" s="86" t="str">
        <f t="shared" si="2"/>
        <v/>
      </c>
      <c r="U76" s="86" t="str">
        <f t="shared" si="3"/>
        <v/>
      </c>
      <c r="V76" s="10"/>
      <c r="W76" s="10"/>
    </row>
    <row r="77" spans="1:23" ht="24.6" customHeight="1" x14ac:dyDescent="0.45">
      <c r="A77" s="59"/>
      <c r="B77" s="60"/>
      <c r="C77" s="10"/>
      <c r="D77" s="61"/>
      <c r="E77" s="10"/>
      <c r="F77" s="61"/>
      <c r="G77" s="10"/>
      <c r="H77" s="62"/>
      <c r="I77" s="62"/>
      <c r="J77" s="62"/>
      <c r="K77" s="10"/>
      <c r="L77" s="10"/>
      <c r="M77" s="10"/>
      <c r="N77" s="10"/>
      <c r="O77" s="10"/>
      <c r="P77" s="10"/>
      <c r="Q77" s="10"/>
      <c r="R77" s="10"/>
      <c r="S77" s="10"/>
      <c r="T77" s="86" t="str">
        <f t="shared" si="2"/>
        <v/>
      </c>
      <c r="U77" s="86" t="str">
        <f t="shared" si="3"/>
        <v/>
      </c>
      <c r="V77" s="10"/>
      <c r="W77" s="10"/>
    </row>
    <row r="78" spans="1:23" ht="24.6" customHeight="1" x14ac:dyDescent="0.45">
      <c r="A78" s="59"/>
      <c r="B78" s="60"/>
      <c r="C78" s="10"/>
      <c r="D78" s="61"/>
      <c r="E78" s="10"/>
      <c r="F78" s="61"/>
      <c r="G78" s="10"/>
      <c r="H78" s="62"/>
      <c r="I78" s="62"/>
      <c r="J78" s="62"/>
      <c r="K78" s="10"/>
      <c r="L78" s="10"/>
      <c r="M78" s="10"/>
      <c r="N78" s="10"/>
      <c r="O78" s="10"/>
      <c r="P78" s="10"/>
      <c r="Q78" s="10"/>
      <c r="R78" s="10"/>
      <c r="S78" s="10"/>
      <c r="T78" s="86" t="str">
        <f t="shared" si="2"/>
        <v/>
      </c>
      <c r="U78" s="86" t="str">
        <f t="shared" si="3"/>
        <v/>
      </c>
      <c r="V78" s="10"/>
      <c r="W78" s="10"/>
    </row>
    <row r="79" spans="1:23" ht="24.6" customHeight="1" x14ac:dyDescent="0.45">
      <c r="A79" s="59"/>
      <c r="B79" s="60"/>
      <c r="C79" s="10"/>
      <c r="D79" s="61"/>
      <c r="E79" s="10"/>
      <c r="F79" s="61"/>
      <c r="G79" s="10"/>
      <c r="H79" s="62"/>
      <c r="I79" s="62"/>
      <c r="J79" s="62"/>
      <c r="K79" s="10"/>
      <c r="L79" s="10"/>
      <c r="M79" s="10"/>
      <c r="N79" s="10"/>
      <c r="O79" s="10"/>
      <c r="P79" s="10"/>
      <c r="Q79" s="10"/>
      <c r="R79" s="10"/>
      <c r="S79" s="10"/>
      <c r="T79" s="86" t="str">
        <f t="shared" si="2"/>
        <v/>
      </c>
      <c r="U79" s="86" t="str">
        <f t="shared" si="3"/>
        <v/>
      </c>
      <c r="V79" s="10"/>
      <c r="W79" s="10"/>
    </row>
    <row r="80" spans="1:23" ht="24.6" customHeight="1" x14ac:dyDescent="0.45">
      <c r="A80" s="59"/>
      <c r="B80" s="60"/>
      <c r="C80" s="10"/>
      <c r="D80" s="61"/>
      <c r="E80" s="10"/>
      <c r="F80" s="61"/>
      <c r="G80" s="10"/>
      <c r="H80" s="62"/>
      <c r="I80" s="62"/>
      <c r="J80" s="62"/>
      <c r="K80" s="10"/>
      <c r="L80" s="10"/>
      <c r="M80" s="10"/>
      <c r="N80" s="10"/>
      <c r="O80" s="10"/>
      <c r="P80" s="10"/>
      <c r="Q80" s="10"/>
      <c r="R80" s="10"/>
      <c r="S80" s="10"/>
      <c r="T80" s="86" t="str">
        <f t="shared" si="2"/>
        <v/>
      </c>
      <c r="U80" s="86" t="str">
        <f t="shared" si="3"/>
        <v/>
      </c>
      <c r="V80" s="10"/>
      <c r="W80" s="10"/>
    </row>
    <row r="81" spans="1:23" ht="24.6" customHeight="1" x14ac:dyDescent="0.45">
      <c r="A81" s="59"/>
      <c r="B81" s="60"/>
      <c r="C81" s="10"/>
      <c r="D81" s="61"/>
      <c r="E81" s="10"/>
      <c r="F81" s="61"/>
      <c r="G81" s="10"/>
      <c r="H81" s="62"/>
      <c r="I81" s="62"/>
      <c r="J81" s="62"/>
      <c r="K81" s="10"/>
      <c r="L81" s="10"/>
      <c r="M81" s="10"/>
      <c r="N81" s="10"/>
      <c r="O81" s="10"/>
      <c r="P81" s="10"/>
      <c r="Q81" s="10"/>
      <c r="R81" s="10"/>
      <c r="S81" s="10"/>
      <c r="T81" s="86" t="str">
        <f t="shared" si="2"/>
        <v/>
      </c>
      <c r="U81" s="86" t="str">
        <f t="shared" si="3"/>
        <v/>
      </c>
      <c r="V81" s="10"/>
      <c r="W81" s="10"/>
    </row>
    <row r="82" spans="1:23" ht="24.6" customHeight="1" x14ac:dyDescent="0.45">
      <c r="A82" s="59"/>
      <c r="B82" s="60"/>
      <c r="C82" s="10"/>
      <c r="D82" s="61"/>
      <c r="E82" s="10"/>
      <c r="F82" s="61"/>
      <c r="G82" s="10"/>
      <c r="H82" s="62"/>
      <c r="I82" s="62"/>
      <c r="J82" s="62"/>
      <c r="K82" s="10"/>
      <c r="L82" s="10"/>
      <c r="M82" s="10"/>
      <c r="N82" s="10"/>
      <c r="O82" s="10"/>
      <c r="P82" s="10"/>
      <c r="Q82" s="10"/>
      <c r="R82" s="10"/>
      <c r="S82" s="10"/>
      <c r="T82" s="86" t="str">
        <f t="shared" si="2"/>
        <v/>
      </c>
      <c r="U82" s="86" t="str">
        <f t="shared" si="3"/>
        <v/>
      </c>
      <c r="V82" s="10"/>
      <c r="W82" s="10"/>
    </row>
    <row r="83" spans="1:23" ht="24.6" customHeight="1" x14ac:dyDescent="0.45">
      <c r="A83" s="59"/>
      <c r="B83" s="60"/>
      <c r="C83" s="10"/>
      <c r="D83" s="61"/>
      <c r="E83" s="10"/>
      <c r="F83" s="61"/>
      <c r="G83" s="10"/>
      <c r="H83" s="62"/>
      <c r="I83" s="62"/>
      <c r="J83" s="62"/>
      <c r="K83" s="10"/>
      <c r="L83" s="10"/>
      <c r="M83" s="10"/>
      <c r="N83" s="10"/>
      <c r="O83" s="10"/>
      <c r="P83" s="10"/>
      <c r="Q83" s="10"/>
      <c r="R83" s="10"/>
      <c r="S83" s="10"/>
      <c r="T83" s="86" t="str">
        <f t="shared" si="2"/>
        <v/>
      </c>
      <c r="U83" s="86" t="str">
        <f t="shared" si="3"/>
        <v/>
      </c>
      <c r="V83" s="10"/>
      <c r="W83" s="10"/>
    </row>
    <row r="84" spans="1:23" ht="24.6" customHeight="1" x14ac:dyDescent="0.45">
      <c r="A84" s="59"/>
      <c r="B84" s="60"/>
      <c r="C84" s="10"/>
      <c r="D84" s="61"/>
      <c r="E84" s="10"/>
      <c r="F84" s="61"/>
      <c r="G84" s="10"/>
      <c r="H84" s="62"/>
      <c r="I84" s="62"/>
      <c r="J84" s="62"/>
      <c r="K84" s="10"/>
      <c r="L84" s="10"/>
      <c r="M84" s="10"/>
      <c r="N84" s="10"/>
      <c r="O84" s="10"/>
      <c r="P84" s="10"/>
      <c r="Q84" s="10"/>
      <c r="R84" s="10"/>
      <c r="S84" s="10"/>
      <c r="T84" s="86" t="str">
        <f t="shared" si="2"/>
        <v/>
      </c>
      <c r="U84" s="86" t="str">
        <f t="shared" si="3"/>
        <v/>
      </c>
      <c r="V84" s="10"/>
      <c r="W84" s="10"/>
    </row>
    <row r="85" spans="1:23" ht="24.6" customHeight="1" x14ac:dyDescent="0.45">
      <c r="A85" s="10"/>
      <c r="B85" s="60"/>
      <c r="C85" s="10"/>
      <c r="D85" s="61"/>
      <c r="E85" s="10"/>
      <c r="F85" s="61"/>
      <c r="G85" s="10"/>
      <c r="H85" s="62"/>
      <c r="I85" s="62"/>
      <c r="J85" s="62"/>
      <c r="K85" s="10"/>
      <c r="L85" s="10"/>
      <c r="M85" s="10"/>
      <c r="N85" s="10"/>
      <c r="O85" s="10"/>
      <c r="P85" s="10"/>
      <c r="Q85" s="10"/>
      <c r="R85" s="10"/>
      <c r="S85" s="10"/>
      <c r="T85" s="86" t="str">
        <f t="shared" si="2"/>
        <v/>
      </c>
      <c r="U85" s="86" t="str">
        <f t="shared" si="3"/>
        <v/>
      </c>
      <c r="V85" s="10"/>
      <c r="W85" s="10"/>
    </row>
    <row r="86" spans="1:23" ht="24.6" customHeight="1" x14ac:dyDescent="0.45">
      <c r="A86" s="10"/>
      <c r="B86" s="60"/>
      <c r="C86" s="10"/>
      <c r="D86" s="61"/>
      <c r="E86" s="10"/>
      <c r="F86" s="61"/>
      <c r="G86" s="10"/>
      <c r="H86" s="62"/>
      <c r="I86" s="62"/>
      <c r="J86" s="62"/>
      <c r="K86" s="10"/>
      <c r="L86" s="10"/>
      <c r="M86" s="10"/>
      <c r="N86" s="10"/>
      <c r="O86" s="10"/>
      <c r="P86" s="10"/>
      <c r="Q86" s="10"/>
      <c r="R86" s="10"/>
      <c r="S86" s="10"/>
      <c r="T86" s="86" t="str">
        <f t="shared" si="2"/>
        <v/>
      </c>
      <c r="U86" s="86" t="str">
        <f t="shared" si="3"/>
        <v/>
      </c>
      <c r="V86" s="10"/>
      <c r="W86" s="10"/>
    </row>
    <row r="87" spans="1:23" ht="24.6" customHeight="1" x14ac:dyDescent="0.45">
      <c r="A87" s="10"/>
      <c r="B87" s="60"/>
      <c r="C87" s="10"/>
      <c r="D87" s="61"/>
      <c r="E87" s="10"/>
      <c r="F87" s="61"/>
      <c r="G87" s="10"/>
      <c r="H87" s="62"/>
      <c r="I87" s="62"/>
      <c r="J87" s="62"/>
      <c r="K87" s="10"/>
      <c r="L87" s="10"/>
      <c r="M87" s="10"/>
      <c r="N87" s="10"/>
      <c r="O87" s="10"/>
      <c r="P87" s="10"/>
      <c r="Q87" s="10"/>
      <c r="R87" s="10"/>
      <c r="S87" s="10"/>
      <c r="T87" s="86" t="str">
        <f t="shared" si="2"/>
        <v/>
      </c>
      <c r="U87" s="86" t="str">
        <f t="shared" si="3"/>
        <v/>
      </c>
      <c r="V87" s="10"/>
      <c r="W87" s="10"/>
    </row>
    <row r="88" spans="1:23" ht="24.6" customHeight="1" x14ac:dyDescent="0.45">
      <c r="A88" s="10"/>
      <c r="B88" s="60"/>
      <c r="C88" s="10"/>
      <c r="D88" s="61"/>
      <c r="E88" s="10"/>
      <c r="F88" s="61"/>
      <c r="G88" s="10"/>
      <c r="H88" s="62"/>
      <c r="I88" s="62"/>
      <c r="J88" s="62"/>
      <c r="K88" s="10"/>
      <c r="L88" s="10"/>
      <c r="M88" s="10"/>
      <c r="N88" s="10"/>
      <c r="O88" s="10"/>
      <c r="P88" s="10"/>
      <c r="Q88" s="10"/>
      <c r="R88" s="10"/>
      <c r="S88" s="10"/>
      <c r="T88" s="86" t="str">
        <f t="shared" si="2"/>
        <v/>
      </c>
      <c r="U88" s="86" t="str">
        <f t="shared" si="3"/>
        <v/>
      </c>
      <c r="V88" s="10"/>
      <c r="W88" s="10"/>
    </row>
    <row r="89" spans="1:23" ht="24.6" customHeight="1" x14ac:dyDescent="0.45">
      <c r="A89" s="10"/>
      <c r="B89" s="6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86" t="str">
        <f t="shared" si="2"/>
        <v/>
      </c>
      <c r="U89" s="86" t="str">
        <f t="shared" si="3"/>
        <v/>
      </c>
      <c r="V89" s="10"/>
      <c r="W89" s="10"/>
    </row>
    <row r="90" spans="1:23" ht="24.6" customHeight="1" x14ac:dyDescent="0.45">
      <c r="A90" s="10"/>
      <c r="B90" s="6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86" t="str">
        <f t="shared" si="2"/>
        <v/>
      </c>
      <c r="U90" s="86" t="str">
        <f t="shared" si="3"/>
        <v/>
      </c>
      <c r="V90" s="10"/>
      <c r="W90" s="10"/>
    </row>
    <row r="91" spans="1:23" ht="24.6" customHeight="1" x14ac:dyDescent="0.45">
      <c r="A91" s="10"/>
      <c r="B91" s="6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86" t="str">
        <f t="shared" si="2"/>
        <v/>
      </c>
      <c r="U91" s="86" t="str">
        <f t="shared" si="3"/>
        <v/>
      </c>
      <c r="V91" s="10"/>
      <c r="W91" s="10"/>
    </row>
    <row r="92" spans="1:23" ht="24.6" customHeight="1" x14ac:dyDescent="0.45">
      <c r="A92" s="10"/>
      <c r="B92" s="6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86" t="str">
        <f t="shared" si="2"/>
        <v/>
      </c>
      <c r="U92" s="86" t="str">
        <f t="shared" si="3"/>
        <v/>
      </c>
      <c r="V92" s="10"/>
      <c r="W92" s="10"/>
    </row>
    <row r="93" spans="1:23" ht="24.6" customHeight="1" x14ac:dyDescent="0.45">
      <c r="A93" s="10"/>
      <c r="B93" s="6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86" t="str">
        <f t="shared" si="2"/>
        <v/>
      </c>
      <c r="U93" s="86" t="str">
        <f t="shared" si="3"/>
        <v/>
      </c>
      <c r="V93" s="10"/>
      <c r="W93" s="10"/>
    </row>
    <row r="94" spans="1:23" ht="24.6" customHeight="1" x14ac:dyDescent="0.45">
      <c r="A94" s="10"/>
      <c r="B94" s="6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86" t="str">
        <f t="shared" si="2"/>
        <v/>
      </c>
      <c r="U94" s="86" t="str">
        <f t="shared" si="3"/>
        <v/>
      </c>
      <c r="V94" s="10"/>
      <c r="W94" s="10"/>
    </row>
    <row r="95" spans="1:23" ht="24.6" customHeight="1" x14ac:dyDescent="0.45">
      <c r="A95" s="10"/>
      <c r="B95" s="6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86" t="str">
        <f t="shared" si="2"/>
        <v/>
      </c>
      <c r="U95" s="86" t="str">
        <f t="shared" si="3"/>
        <v/>
      </c>
      <c r="V95" s="10"/>
      <c r="W95" s="10"/>
    </row>
    <row r="96" spans="1:23" ht="24.6" customHeight="1" x14ac:dyDescent="0.45">
      <c r="A96" s="10"/>
      <c r="B96" s="6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86" t="str">
        <f t="shared" si="2"/>
        <v/>
      </c>
      <c r="U96" s="86" t="str">
        <f t="shared" si="3"/>
        <v/>
      </c>
      <c r="V96" s="10"/>
      <c r="W96" s="10"/>
    </row>
    <row r="97" spans="1:23" ht="24.6" customHeight="1" x14ac:dyDescent="0.45">
      <c r="A97" s="10"/>
      <c r="B97" s="6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86" t="str">
        <f t="shared" si="2"/>
        <v/>
      </c>
      <c r="U97" s="86" t="str">
        <f t="shared" si="3"/>
        <v/>
      </c>
      <c r="V97" s="10"/>
      <c r="W97" s="10"/>
    </row>
    <row r="98" spans="1:23" ht="24.6" customHeight="1" x14ac:dyDescent="0.45">
      <c r="A98" s="10"/>
      <c r="B98" s="6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86" t="str">
        <f t="shared" si="2"/>
        <v/>
      </c>
      <c r="U98" s="86" t="str">
        <f t="shared" si="3"/>
        <v/>
      </c>
      <c r="V98" s="10"/>
      <c r="W98" s="10"/>
    </row>
    <row r="99" spans="1:23" ht="24.6" customHeight="1" x14ac:dyDescent="0.45">
      <c r="A99" s="10"/>
      <c r="B99" s="6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86" t="str">
        <f t="shared" si="2"/>
        <v/>
      </c>
      <c r="U99" s="86" t="str">
        <f t="shared" si="3"/>
        <v/>
      </c>
      <c r="V99" s="10"/>
      <c r="W99" s="10"/>
    </row>
    <row r="100" spans="1:23" ht="24.6" customHeight="1" x14ac:dyDescent="0.45">
      <c r="A100" s="10"/>
      <c r="B100" s="6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86" t="str">
        <f t="shared" si="2"/>
        <v/>
      </c>
      <c r="U100" s="86" t="str">
        <f t="shared" si="3"/>
        <v/>
      </c>
      <c r="V100" s="10"/>
      <c r="W100" s="10"/>
    </row>
  </sheetData>
  <mergeCells count="1">
    <mergeCell ref="N4:Q4"/>
  </mergeCells>
  <pageMargins left="0.7" right="0.7" top="0.75" bottom="0.75" header="0.3" footer="0.3"/>
  <pageSetup orientation="portrait" r:id="rId1"/>
  <ignoredErrors>
    <ignoredError sqref="Z9" twoDigitTextYear="1"/>
  </ignoredErrors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22</xdr:col>
                <xdr:colOff>68580</xdr:colOff>
                <xdr:row>0</xdr:row>
                <xdr:rowOff>114300</xdr:rowOff>
              </from>
              <to>
                <xdr:col>22</xdr:col>
                <xdr:colOff>1661160</xdr:colOff>
                <xdr:row>2</xdr:row>
                <xdr:rowOff>91440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20" r:id="rId6" name="CommandButton3">
          <controlPr defaultSize="0" autoLine="0" r:id="rId7">
            <anchor moveWithCells="1">
              <from>
                <xdr:col>24</xdr:col>
                <xdr:colOff>22860</xdr:colOff>
                <xdr:row>21</xdr:row>
                <xdr:rowOff>0</xdr:rowOff>
              </from>
              <to>
                <xdr:col>25</xdr:col>
                <xdr:colOff>2324100</xdr:colOff>
                <xdr:row>22</xdr:row>
                <xdr:rowOff>251460</xdr:rowOff>
              </to>
            </anchor>
          </controlPr>
        </control>
      </mc:Choice>
      <mc:Fallback>
        <control shapeId="9220" r:id="rId6" name="CommandButton3"/>
      </mc:Fallback>
    </mc:AlternateContent>
    <mc:AlternateContent xmlns:mc="http://schemas.openxmlformats.org/markup-compatibility/2006">
      <mc:Choice Requires="x14">
        <control shapeId="9217" r:id="rId8" name="Approve">
          <controlPr defaultSize="0" autoLine="0" r:id="rId9">
            <anchor moveWithCells="1">
              <from>
                <xdr:col>24</xdr:col>
                <xdr:colOff>541020</xdr:colOff>
                <xdr:row>16</xdr:row>
                <xdr:rowOff>114300</xdr:rowOff>
              </from>
              <to>
                <xdr:col>25</xdr:col>
                <xdr:colOff>1744980</xdr:colOff>
                <xdr:row>18</xdr:row>
                <xdr:rowOff>137160</xdr:rowOff>
              </to>
            </anchor>
          </controlPr>
        </control>
      </mc:Choice>
      <mc:Fallback>
        <control shapeId="9217" r:id="rId8" name="Approve"/>
      </mc:Fallback>
    </mc:AlternateContent>
    <mc:AlternateContent xmlns:mc="http://schemas.openxmlformats.org/markup-compatibility/2006">
      <mc:Choice Requires="x14">
        <control shapeId="9222" r:id="rId10" name="CommandButton2">
          <controlPr defaultSize="0" autoLine="0" r:id="rId11">
            <anchor moveWithCells="1">
              <from>
                <xdr:col>24</xdr:col>
                <xdr:colOff>525780</xdr:colOff>
                <xdr:row>18</xdr:row>
                <xdr:rowOff>251460</xdr:rowOff>
              </from>
              <to>
                <xdr:col>25</xdr:col>
                <xdr:colOff>1752600</xdr:colOff>
                <xdr:row>20</xdr:row>
                <xdr:rowOff>213360</xdr:rowOff>
              </to>
            </anchor>
          </controlPr>
        </control>
      </mc:Choice>
      <mc:Fallback>
        <control shapeId="9222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3881F-094C-465E-977B-DEB3A52F0CC8}">
  <sheetPr codeName="Sheet4"/>
  <dimension ref="A2:E8"/>
  <sheetViews>
    <sheetView workbookViewId="0">
      <selection activeCell="G8" sqref="G8"/>
    </sheetView>
  </sheetViews>
  <sheetFormatPr defaultRowHeight="14.4" x14ac:dyDescent="0.3"/>
  <cols>
    <col min="1" max="1" width="20.21875" bestFit="1" customWidth="1"/>
    <col min="2" max="2" width="15.5546875" bestFit="1" customWidth="1"/>
    <col min="3" max="4" width="2.109375" bestFit="1" customWidth="1"/>
    <col min="5" max="6" width="10.77734375" bestFit="1" customWidth="1"/>
    <col min="7" max="7" width="15" bestFit="1" customWidth="1"/>
    <col min="8" max="8" width="14.109375" bestFit="1" customWidth="1"/>
    <col min="9" max="9" width="15" bestFit="1" customWidth="1"/>
    <col min="10" max="10" width="18.88671875" bestFit="1" customWidth="1"/>
    <col min="11" max="11" width="19.77734375" bestFit="1" customWidth="1"/>
  </cols>
  <sheetData>
    <row r="2" spans="1:5" x14ac:dyDescent="0.3">
      <c r="A2" s="94" t="s">
        <v>124</v>
      </c>
      <c r="B2" t="s">
        <v>138</v>
      </c>
    </row>
    <row r="4" spans="1:5" x14ac:dyDescent="0.3">
      <c r="A4" s="94" t="s">
        <v>136</v>
      </c>
      <c r="B4" s="94" t="s">
        <v>137</v>
      </c>
    </row>
    <row r="5" spans="1:5" x14ac:dyDescent="0.3">
      <c r="A5" s="94" t="s">
        <v>134</v>
      </c>
      <c r="B5" s="8" t="s">
        <v>58</v>
      </c>
      <c r="C5" s="8" t="s">
        <v>59</v>
      </c>
      <c r="D5" s="8" t="s">
        <v>60</v>
      </c>
      <c r="E5" s="8" t="s">
        <v>135</v>
      </c>
    </row>
    <row r="6" spans="1:5" x14ac:dyDescent="0.3">
      <c r="A6" s="95" t="s">
        <v>105</v>
      </c>
      <c r="B6" s="8">
        <v>5</v>
      </c>
      <c r="C6" s="8"/>
      <c r="D6" s="8"/>
      <c r="E6" s="8">
        <v>5</v>
      </c>
    </row>
    <row r="7" spans="1:5" x14ac:dyDescent="0.3">
      <c r="A7" s="95" t="s">
        <v>106</v>
      </c>
      <c r="B7" s="8"/>
      <c r="C7" s="8">
        <v>1</v>
      </c>
      <c r="D7" s="8">
        <v>1</v>
      </c>
      <c r="E7" s="8">
        <v>2</v>
      </c>
    </row>
    <row r="8" spans="1:5" x14ac:dyDescent="0.3">
      <c r="A8" s="95" t="s">
        <v>135</v>
      </c>
      <c r="B8" s="8">
        <v>5</v>
      </c>
      <c r="C8" s="8">
        <v>1</v>
      </c>
      <c r="D8" s="8">
        <v>1</v>
      </c>
      <c r="E8" s="8">
        <v>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F8A9C-1130-444B-AA72-7F772C555BD1}">
  <sheetPr codeName="Sheet7"/>
  <dimension ref="B2:L23"/>
  <sheetViews>
    <sheetView zoomScaleNormal="100" workbookViewId="0">
      <selection activeCell="E25" sqref="E25"/>
    </sheetView>
  </sheetViews>
  <sheetFormatPr defaultRowHeight="14.4" x14ac:dyDescent="0.3"/>
  <cols>
    <col min="2" max="2" width="22.109375" bestFit="1" customWidth="1"/>
    <col min="3" max="3" width="15.21875" customWidth="1"/>
    <col min="4" max="4" width="22.109375" customWidth="1"/>
    <col min="5" max="5" width="15.21875" customWidth="1"/>
    <col min="6" max="6" width="26" customWidth="1"/>
    <col min="7" max="7" width="15.21875" customWidth="1"/>
    <col min="8" max="8" width="27.5546875" customWidth="1"/>
    <col min="9" max="9" width="15.21875" customWidth="1"/>
    <col min="10" max="10" width="24.21875" customWidth="1"/>
    <col min="11" max="11" width="15.5546875" customWidth="1"/>
    <col min="12" max="12" width="18.21875" customWidth="1"/>
    <col min="13" max="13" width="24.21875" customWidth="1"/>
  </cols>
  <sheetData>
    <row r="2" spans="2:10" s="70" customFormat="1" x14ac:dyDescent="0.3">
      <c r="B2" s="69" t="s">
        <v>73</v>
      </c>
      <c r="C2" s="18"/>
      <c r="D2" s="69" t="s">
        <v>19</v>
      </c>
      <c r="E2" s="18"/>
      <c r="F2" s="69" t="s">
        <v>79</v>
      </c>
      <c r="G2" s="18"/>
      <c r="H2" s="69" t="s">
        <v>47</v>
      </c>
      <c r="I2" s="18"/>
      <c r="J2" s="69" t="s">
        <v>21</v>
      </c>
    </row>
    <row r="3" spans="2:10" x14ac:dyDescent="0.3">
      <c r="B3" s="8" t="s">
        <v>80</v>
      </c>
      <c r="C3" s="8"/>
      <c r="D3" s="8" t="s">
        <v>78</v>
      </c>
      <c r="E3" s="8"/>
      <c r="F3" s="8" t="s">
        <v>77</v>
      </c>
      <c r="G3" s="8"/>
      <c r="H3" s="8" t="s">
        <v>85</v>
      </c>
      <c r="I3" s="8"/>
      <c r="J3" s="8" t="s">
        <v>86</v>
      </c>
    </row>
    <row r="4" spans="2:10" x14ac:dyDescent="0.3">
      <c r="B4" s="8" t="s">
        <v>81</v>
      </c>
      <c r="C4" s="8"/>
      <c r="D4" s="8" t="s">
        <v>18</v>
      </c>
      <c r="E4" s="8"/>
      <c r="F4" s="8" t="s">
        <v>74</v>
      </c>
      <c r="G4" s="8"/>
      <c r="H4" s="8" t="s">
        <v>76</v>
      </c>
      <c r="I4" s="8"/>
      <c r="J4" s="8" t="s">
        <v>87</v>
      </c>
    </row>
    <row r="5" spans="2:10" x14ac:dyDescent="0.3">
      <c r="B5" s="8" t="s">
        <v>82</v>
      </c>
      <c r="C5" s="8"/>
      <c r="D5" s="8"/>
      <c r="E5" s="8"/>
      <c r="F5" s="8" t="s">
        <v>75</v>
      </c>
      <c r="G5" s="8"/>
      <c r="H5" s="8"/>
      <c r="I5" s="8"/>
      <c r="J5" s="8" t="s">
        <v>88</v>
      </c>
    </row>
    <row r="6" spans="2:10" x14ac:dyDescent="0.3">
      <c r="B6" s="8" t="s">
        <v>83</v>
      </c>
      <c r="C6" s="8"/>
      <c r="D6" s="8"/>
      <c r="E6" s="8"/>
      <c r="F6" s="8" t="s">
        <v>76</v>
      </c>
      <c r="G6" s="8"/>
      <c r="H6" s="8"/>
      <c r="I6" s="8"/>
      <c r="J6" s="8" t="s">
        <v>98</v>
      </c>
    </row>
    <row r="7" spans="2:10" x14ac:dyDescent="0.3">
      <c r="B7" s="8" t="s">
        <v>84</v>
      </c>
      <c r="C7" s="8"/>
      <c r="D7" s="8"/>
      <c r="E7" s="8"/>
      <c r="F7" s="8"/>
      <c r="G7" s="8"/>
      <c r="H7" s="8"/>
      <c r="I7" s="8"/>
      <c r="J7" s="8" t="s">
        <v>89</v>
      </c>
    </row>
    <row r="8" spans="2:10" x14ac:dyDescent="0.3">
      <c r="B8" s="8"/>
      <c r="C8" s="8"/>
      <c r="D8" s="8"/>
      <c r="E8" s="8"/>
      <c r="F8" s="8"/>
      <c r="G8" s="8"/>
      <c r="H8" s="8"/>
      <c r="I8" s="8"/>
      <c r="J8" s="8" t="s">
        <v>90</v>
      </c>
    </row>
    <row r="9" spans="2:10" x14ac:dyDescent="0.3">
      <c r="B9" s="8"/>
      <c r="C9" s="8"/>
      <c r="D9" s="8"/>
      <c r="E9" s="8"/>
      <c r="F9" s="8"/>
      <c r="G9" s="8"/>
      <c r="H9" s="8"/>
      <c r="I9" s="8"/>
      <c r="J9" s="8" t="s">
        <v>91</v>
      </c>
    </row>
    <row r="10" spans="2:10" x14ac:dyDescent="0.3">
      <c r="B10" s="8"/>
      <c r="C10" s="8"/>
      <c r="D10" s="8"/>
      <c r="E10" s="8"/>
      <c r="F10" s="8"/>
      <c r="G10" s="8"/>
      <c r="H10" s="8"/>
      <c r="I10" s="8"/>
      <c r="J10" s="8" t="s">
        <v>92</v>
      </c>
    </row>
    <row r="11" spans="2:10" x14ac:dyDescent="0.3">
      <c r="B11" s="8"/>
      <c r="C11" s="8"/>
      <c r="D11" s="8"/>
      <c r="E11" s="8"/>
      <c r="F11" s="8"/>
      <c r="G11" s="8"/>
      <c r="H11" s="8"/>
      <c r="I11" s="8"/>
      <c r="J11" s="8" t="s">
        <v>97</v>
      </c>
    </row>
    <row r="12" spans="2:10" x14ac:dyDescent="0.3">
      <c r="B12" s="8"/>
      <c r="C12" s="8"/>
      <c r="D12" s="8"/>
      <c r="E12" s="8"/>
      <c r="G12" s="8"/>
      <c r="H12" s="8"/>
      <c r="I12" s="8"/>
      <c r="J12" s="8" t="s">
        <v>93</v>
      </c>
    </row>
    <row r="13" spans="2:10" x14ac:dyDescent="0.3">
      <c r="B13" s="8"/>
      <c r="C13" s="8"/>
      <c r="D13" s="8"/>
      <c r="E13" s="8"/>
      <c r="G13" s="8"/>
      <c r="H13" s="8"/>
      <c r="I13" s="8"/>
      <c r="J13" s="8" t="s">
        <v>94</v>
      </c>
    </row>
    <row r="14" spans="2:10" x14ac:dyDescent="0.3">
      <c r="B14" s="8"/>
      <c r="C14" s="8"/>
      <c r="D14" s="8"/>
      <c r="E14" s="8"/>
      <c r="G14" s="8"/>
      <c r="H14" s="8"/>
      <c r="I14" s="8"/>
      <c r="J14" s="8" t="s">
        <v>95</v>
      </c>
    </row>
    <row r="15" spans="2:10" x14ac:dyDescent="0.3">
      <c r="B15" s="8"/>
      <c r="C15" s="8"/>
      <c r="D15" s="8"/>
      <c r="E15" s="8"/>
      <c r="G15" s="8"/>
      <c r="H15" s="8"/>
      <c r="I15" s="8"/>
      <c r="J15" s="8" t="s">
        <v>96</v>
      </c>
    </row>
    <row r="16" spans="2:10" x14ac:dyDescent="0.3">
      <c r="B16" s="8"/>
      <c r="C16" s="8"/>
      <c r="D16" s="8"/>
      <c r="E16" s="8"/>
      <c r="F16" s="8"/>
      <c r="G16" s="8"/>
      <c r="H16" s="8"/>
      <c r="I16" s="8"/>
      <c r="J16" s="8" t="s">
        <v>76</v>
      </c>
    </row>
    <row r="18" spans="2:12" x14ac:dyDescent="0.3">
      <c r="B18" s="68" t="s">
        <v>45</v>
      </c>
      <c r="C18" s="18"/>
      <c r="D18" s="69" t="s">
        <v>42</v>
      </c>
      <c r="E18" s="18"/>
      <c r="F18" s="69" t="s">
        <v>46</v>
      </c>
      <c r="H18" s="69" t="s">
        <v>43</v>
      </c>
      <c r="I18" s="18"/>
      <c r="J18" s="69" t="s">
        <v>44</v>
      </c>
      <c r="L18" s="18"/>
    </row>
    <row r="19" spans="2:12" x14ac:dyDescent="0.3">
      <c r="B19" s="8" t="s">
        <v>39</v>
      </c>
      <c r="C19" s="8"/>
      <c r="D19" s="8">
        <v>5</v>
      </c>
      <c r="E19" s="8"/>
      <c r="F19" s="8">
        <v>5</v>
      </c>
      <c r="H19" s="8">
        <v>5</v>
      </c>
      <c r="I19" s="8"/>
      <c r="J19" s="8">
        <v>5</v>
      </c>
    </row>
    <row r="20" spans="2:12" x14ac:dyDescent="0.3">
      <c r="B20" s="8" t="s">
        <v>40</v>
      </c>
      <c r="C20" s="8"/>
      <c r="D20" s="8">
        <v>4</v>
      </c>
      <c r="E20" s="8"/>
      <c r="F20" s="8">
        <v>4</v>
      </c>
      <c r="H20" s="8">
        <v>4</v>
      </c>
      <c r="I20" s="8"/>
      <c r="J20" s="8">
        <v>4</v>
      </c>
    </row>
    <row r="21" spans="2:12" x14ac:dyDescent="0.3">
      <c r="B21" s="8" t="s">
        <v>41</v>
      </c>
      <c r="C21" s="8"/>
      <c r="D21" s="8">
        <v>3</v>
      </c>
      <c r="E21" s="8"/>
      <c r="F21" s="8">
        <v>3</v>
      </c>
      <c r="H21" s="8">
        <v>3</v>
      </c>
      <c r="I21" s="8"/>
      <c r="J21" s="8">
        <v>3</v>
      </c>
    </row>
    <row r="22" spans="2:12" x14ac:dyDescent="0.3">
      <c r="B22" s="8"/>
      <c r="C22" s="8"/>
      <c r="D22" s="8">
        <v>2</v>
      </c>
      <c r="E22" s="8"/>
      <c r="F22" s="8">
        <v>2</v>
      </c>
      <c r="G22" s="8"/>
      <c r="H22" s="8">
        <v>2</v>
      </c>
      <c r="I22" s="8"/>
      <c r="J22" s="8">
        <v>2</v>
      </c>
    </row>
    <row r="23" spans="2:12" x14ac:dyDescent="0.3">
      <c r="B23" s="8"/>
      <c r="D23" s="8">
        <v>1</v>
      </c>
      <c r="F23" s="8">
        <v>1</v>
      </c>
      <c r="H23" s="8">
        <v>1</v>
      </c>
      <c r="J23" s="8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SystemMainPage</vt:lpstr>
      <vt:lpstr>AssignPlayer&amp;Qualification</vt:lpstr>
      <vt:lpstr>PlayersDatabase</vt:lpstr>
      <vt:lpstr>ManagerMainPage</vt:lpstr>
      <vt:lpstr>Pivot Table</vt:lpstr>
      <vt:lpstr>List for Data Validation</vt:lpstr>
      <vt:lpstr>'AssignPlayer&amp;Qualification'!Print_Area</vt:lpstr>
      <vt:lpstr>PlayersDatabase!Print_Area</vt:lpstr>
      <vt:lpstr>SystemMainPage!Print_Area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 Jun Siah</dc:creator>
  <cp:lastModifiedBy>CHAN YEE TENG</cp:lastModifiedBy>
  <dcterms:created xsi:type="dcterms:W3CDTF">2022-07-09T06:41:48Z</dcterms:created>
  <dcterms:modified xsi:type="dcterms:W3CDTF">2023-11-03T23:16:32Z</dcterms:modified>
</cp:coreProperties>
</file>